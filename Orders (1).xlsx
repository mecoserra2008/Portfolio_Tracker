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eusbalthar/Downloads/"/>
    </mc:Choice>
  </mc:AlternateContent>
  <xr:revisionPtr revIDLastSave="0" documentId="13_ncr:1_{F2FB0EB0-8DD1-2445-A01E-10992FEE22CD}" xr6:coauthVersionLast="47" xr6:coauthVersionMax="47" xr10:uidLastSave="{00000000-0000-0000-0000-000000000000}"/>
  <bookViews>
    <workbookView xWindow="0" yWindow="740" windowWidth="30240" windowHeight="18900" xr2:uid="{10666890-A8B6-4AEF-80C5-75DE005C68B2}"/>
  </bookViews>
  <sheets>
    <sheet name="Orders" sheetId="2" r:id="rId1"/>
    <sheet name="Emissão Bancária" sheetId="3" r:id="rId2"/>
    <sheet name="Crédito Privado" sheetId="4" r:id="rId3"/>
    <sheet name="Tesouro" sheetId="5" r:id="rId4"/>
    <sheet name="Títulos Públicos" sheetId="6" r:id="rId5"/>
    <sheet name="CO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5" l="1"/>
  <c r="E2" i="3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2" i="8"/>
  <c r="D3" i="5"/>
  <c r="D5" i="5"/>
  <c r="D4" i="5"/>
  <c r="D6" i="5"/>
  <c r="E3" i="4"/>
  <c r="E2" i="4"/>
  <c r="E26" i="3"/>
  <c r="E21" i="3"/>
  <c r="E20" i="3"/>
  <c r="E19" i="3"/>
  <c r="E18" i="3"/>
  <c r="E22" i="3"/>
  <c r="E17" i="3"/>
  <c r="E25" i="3"/>
  <c r="E24" i="3"/>
  <c r="E23" i="3"/>
  <c r="E16" i="3"/>
  <c r="E15" i="3"/>
  <c r="E14" i="3"/>
  <c r="E13" i="3"/>
  <c r="E12" i="3"/>
  <c r="E10" i="3"/>
  <c r="E9" i="3"/>
  <c r="E8" i="3"/>
  <c r="E7" i="3"/>
  <c r="E5" i="3"/>
  <c r="E3" i="3"/>
  <c r="E4" i="3"/>
  <c r="E6" i="3"/>
  <c r="E11" i="3"/>
</calcChain>
</file>

<file path=xl/sharedStrings.xml><?xml version="1.0" encoding="utf-8"?>
<sst xmlns="http://schemas.openxmlformats.org/spreadsheetml/2006/main" count="522" uniqueCount="121">
  <si>
    <t xml:space="preserve">Ativo </t>
  </si>
  <si>
    <t>UCO</t>
  </si>
  <si>
    <t>Quantidade</t>
  </si>
  <si>
    <t>UBER</t>
  </si>
  <si>
    <t>-</t>
  </si>
  <si>
    <t>ADBE</t>
  </si>
  <si>
    <t xml:space="preserve">Internacional </t>
  </si>
  <si>
    <t>Crypto</t>
  </si>
  <si>
    <t>Nacional</t>
  </si>
  <si>
    <t>AMER3</t>
  </si>
  <si>
    <t>ITUB4</t>
  </si>
  <si>
    <t>VALE3</t>
  </si>
  <si>
    <t>VISA34</t>
  </si>
  <si>
    <t>ITSA4</t>
  </si>
  <si>
    <t>BBDC4</t>
  </si>
  <si>
    <t>MRVE</t>
  </si>
  <si>
    <t>BPAC11</t>
  </si>
  <si>
    <t>ARML3</t>
  </si>
  <si>
    <t>GGBR4</t>
  </si>
  <si>
    <t>ARGT</t>
  </si>
  <si>
    <t>AAPL</t>
  </si>
  <si>
    <t>FXY</t>
  </si>
  <si>
    <t>VIOO</t>
  </si>
  <si>
    <t>SPY</t>
  </si>
  <si>
    <t>DJIA</t>
  </si>
  <si>
    <t>XP</t>
  </si>
  <si>
    <t>AMZN</t>
  </si>
  <si>
    <t>XOM</t>
  </si>
  <si>
    <t>Data</t>
  </si>
  <si>
    <t xml:space="preserve">Preço </t>
  </si>
  <si>
    <t xml:space="preserve">Data </t>
  </si>
  <si>
    <t>Preço</t>
  </si>
  <si>
    <t>CDI</t>
  </si>
  <si>
    <t>Mercado Livre CFI</t>
  </si>
  <si>
    <t>Pré-Fixado</t>
  </si>
  <si>
    <t>IPC-A</t>
  </si>
  <si>
    <t>VERT Securitizadora</t>
  </si>
  <si>
    <t>Banco Volkswagen</t>
  </si>
  <si>
    <t>Vencimento</t>
  </si>
  <si>
    <t xml:space="preserve">Percentual Indexado </t>
  </si>
  <si>
    <t>Indexador</t>
  </si>
  <si>
    <t xml:space="preserve">Valor investido </t>
  </si>
  <si>
    <t xml:space="preserve">Preço Unitário </t>
  </si>
  <si>
    <t>Emissor</t>
  </si>
  <si>
    <t xml:space="preserve">Título </t>
  </si>
  <si>
    <t>Data de Aplicação / Resgate</t>
  </si>
  <si>
    <t xml:space="preserve">CDB FLU CDB7250VFLX	</t>
  </si>
  <si>
    <t>CDB FLU CDB8241V8V0</t>
  </si>
  <si>
    <t>LCA 24J02085651</t>
  </si>
  <si>
    <t>Banco Bocom BBM SA</t>
  </si>
  <si>
    <t>CDB FLU CDBC24AIAZK</t>
  </si>
  <si>
    <t>BMG</t>
  </si>
  <si>
    <t>CDB FLU CDB3235A1TY</t>
  </si>
  <si>
    <t>CDI + 1,65%</t>
  </si>
  <si>
    <t>CDB FLU CDB5252E1SC</t>
  </si>
  <si>
    <t>CDB FLU CDB7253NVRQ</t>
  </si>
  <si>
    <t>CDB FLU CDB7250VFLX</t>
  </si>
  <si>
    <t>CDB FLU CDB8243WIHN</t>
  </si>
  <si>
    <t>LCI 24B01906125</t>
  </si>
  <si>
    <t>BRB</t>
  </si>
  <si>
    <t>CDB FLU CDB123MSXQP</t>
  </si>
  <si>
    <t>Banco Master S/A</t>
  </si>
  <si>
    <t>LCI 24D03249374</t>
  </si>
  <si>
    <t>Banco Inter</t>
  </si>
  <si>
    <t>IPCA</t>
  </si>
  <si>
    <t>IPCA + 5,45%</t>
  </si>
  <si>
    <t>CDB FLU CDB22351UA1</t>
  </si>
  <si>
    <t>CDB FLU CDBC23CS3CG</t>
  </si>
  <si>
    <t>Banco Master de Investime</t>
  </si>
  <si>
    <t>CDB FLU CDB323O6TTY</t>
  </si>
  <si>
    <t>Banco C6 Consignado S.A.</t>
  </si>
  <si>
    <t>CRI 23K0022043</t>
  </si>
  <si>
    <t xml:space="preserve">Juros </t>
  </si>
  <si>
    <t>TRUE Securitizadora S.A.</t>
  </si>
  <si>
    <t>IPCA + 7,3%</t>
  </si>
  <si>
    <t xml:space="preserve">Semestral </t>
  </si>
  <si>
    <t>CRI 22J0306937</t>
  </si>
  <si>
    <t>IPCA + 7,2%</t>
  </si>
  <si>
    <t>Semestral</t>
  </si>
  <si>
    <t xml:space="preserve">Amortização </t>
  </si>
  <si>
    <t xml:space="preserve">Anual </t>
  </si>
  <si>
    <t xml:space="preserve">Vencimento </t>
  </si>
  <si>
    <t>Tesouro Selic 2026</t>
  </si>
  <si>
    <t>Selic (pós-fixado)</t>
  </si>
  <si>
    <t>100% da Selic + 0,045% a.a.</t>
  </si>
  <si>
    <t>Tesouro Prefixado 2026</t>
  </si>
  <si>
    <t>Pré Fixado</t>
  </si>
  <si>
    <t>10,19% a.a</t>
  </si>
  <si>
    <t>NTN-B 760199</t>
  </si>
  <si>
    <t>IPCA + 7,51% a.a.</t>
  </si>
  <si>
    <t>Juros</t>
  </si>
  <si>
    <t>Amoritzação</t>
  </si>
  <si>
    <t>X</t>
  </si>
  <si>
    <t>LFT 210100</t>
  </si>
  <si>
    <t>Selic (LFT)</t>
  </si>
  <si>
    <t>100% da Selic + 0,0025% a.a.</t>
  </si>
  <si>
    <t>XP MAPS9 – Taxa Fixa + Alta Ilimitada – 5y</t>
  </si>
  <si>
    <t>?</t>
  </si>
  <si>
    <t>LTN 100000</t>
  </si>
  <si>
    <t>IPCA + 5,26%</t>
  </si>
  <si>
    <t>IPCA + 5,66%</t>
  </si>
  <si>
    <t>NTN-F 950199</t>
  </si>
  <si>
    <t>IPCA + 6,42%</t>
  </si>
  <si>
    <t>CSAN3</t>
  </si>
  <si>
    <t>ELET3</t>
  </si>
  <si>
    <t>RAIZ4</t>
  </si>
  <si>
    <t>RAIL3</t>
  </si>
  <si>
    <t>PETR4</t>
  </si>
  <si>
    <t>JBS</t>
  </si>
  <si>
    <t>ADA</t>
  </si>
  <si>
    <t>AVAX</t>
  </si>
  <si>
    <t>ETH</t>
  </si>
  <si>
    <t>SMSN</t>
  </si>
  <si>
    <t>CDB FLU CDB425CTI84</t>
  </si>
  <si>
    <t>BTC</t>
  </si>
  <si>
    <t>UVXY</t>
  </si>
  <si>
    <t>USD.JPY</t>
  </si>
  <si>
    <t>XAUUSD</t>
  </si>
  <si>
    <t>EUR.JPY</t>
  </si>
  <si>
    <t>VXM</t>
  </si>
  <si>
    <t>HAPV3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</si>
</sst>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\ * #,##0.00_-;\-&quot;R$&quot;\ * #,##0.00_-;_-&quot;R$&quot;\ * &quot;-&quot;??_-;_-@_-"/>
    <numFmt numFmtId="165" formatCode="_-[$$-1409]* #,##0.00_-;\-[$$-1409]* #,##0.00_-;_-[$$-1409]* &quot;-&quot;??_-;_-@_-"/>
    <numFmt numFmtId="166" formatCode="_-[$R$-416]\ * #,##0.00_-;\-[$R$-416]\ * #,##0.00_-;_-[$R$-416]\ * &quot;-&quot;??_-;_-@_-"/>
    <numFmt numFmtId="167" formatCode="0.0000%"/>
    <numFmt numFmtId="168" formatCode="_-[$R$-416]\ * #,##0.00000_-;\-[$R$-416]\ * #,##0.00000_-;_-[$R$-416]\ * &quot;-&quot;??_-;_-@_-"/>
  </numFmts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66" fontId="0" fillId="0" borderId="0" xfId="0" applyNumberFormat="1"/>
    <xf numFmtId="9" fontId="0" fillId="0" borderId="0" xfId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4" fontId="0" fillId="0" borderId="0" xfId="2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6A232-C58B-4E9A-982E-D77D4CFC8E7E}">
  <dimension ref="A1:Q156"/>
  <sheetViews>
    <sheetView tabSelected="1" topLeftCell="A82" zoomScale="125" zoomScaleNormal="160" workbookViewId="0">
      <selection activeCell="J105" sqref="J105"/>
    </sheetView>
  </sheetViews>
  <sheetFormatPr baseColWidth="10" defaultColWidth="8.83203125" defaultRowHeight="15" x14ac:dyDescent="0.2"/>
  <cols>
    <col min="1" max="1" width="12.33203125" bestFit="1" customWidth="1"/>
    <col min="3" max="4" width="11.1640625" bestFit="1" customWidth="1"/>
    <col min="6" max="6" width="11.1640625" bestFit="1" customWidth="1"/>
    <col min="8" max="9" width="12.6640625" bestFit="1" customWidth="1"/>
    <col min="11" max="11" width="12.33203125" bestFit="1" customWidth="1"/>
    <col min="13" max="13" width="15.1640625" bestFit="1" customWidth="1"/>
    <col min="14" max="14" width="13.1640625" bestFit="1" customWidth="1"/>
  </cols>
  <sheetData>
    <row r="1" spans="1:14" ht="16" x14ac:dyDescent="0.2">
      <c r="A1" s="22" t="s">
        <v>6</v>
      </c>
      <c r="B1" s="22"/>
      <c r="C1" s="22"/>
      <c r="D1" s="22"/>
      <c r="F1" s="22" t="s">
        <v>8</v>
      </c>
      <c r="G1" s="22"/>
      <c r="H1" s="22"/>
      <c r="I1" s="22"/>
      <c r="K1" s="22" t="s">
        <v>7</v>
      </c>
      <c r="L1" s="22"/>
      <c r="M1" s="22"/>
      <c r="N1" s="22"/>
    </row>
    <row r="2" spans="1:14" x14ac:dyDescent="0.2">
      <c r="A2" t="s">
        <v>28</v>
      </c>
      <c r="B2" t="s">
        <v>0</v>
      </c>
      <c r="C2" t="s">
        <v>29</v>
      </c>
      <c r="D2" t="s">
        <v>2</v>
      </c>
      <c r="F2" t="s">
        <v>30</v>
      </c>
      <c r="G2" t="s">
        <v>0</v>
      </c>
      <c r="H2" t="s">
        <v>31</v>
      </c>
      <c r="I2" t="s">
        <v>2</v>
      </c>
      <c r="K2" t="s">
        <v>28</v>
      </c>
      <c r="L2" t="s">
        <v>0</v>
      </c>
      <c r="M2" t="s">
        <v>29</v>
      </c>
      <c r="N2" t="s">
        <v>2</v>
      </c>
    </row>
    <row r="3" spans="1:14" x14ac:dyDescent="0.2">
      <c r="A3" s="5">
        <v>45973</v>
      </c>
      <c r="B3" s="5" t="s">
        <v>119</v>
      </c>
      <c r="C3" s="21">
        <v>1845</v>
      </c>
      <c r="D3">
        <v>-1</v>
      </c>
      <c r="F3" s="5">
        <v>45999</v>
      </c>
      <c r="G3" s="4" t="s">
        <v>120</v>
      </c>
      <c r="H3" s="6">
        <v>14.15</v>
      </c>
      <c r="I3" s="4">
        <v>1500</v>
      </c>
    </row>
    <row r="4" spans="1:14" x14ac:dyDescent="0.2">
      <c r="A4" s="5">
        <v>45972</v>
      </c>
      <c r="B4" s="5" t="s">
        <v>119</v>
      </c>
      <c r="C4" s="21">
        <v>1855</v>
      </c>
      <c r="D4" s="4">
        <v>1</v>
      </c>
      <c r="F4" s="5">
        <v>45988</v>
      </c>
      <c r="G4" s="4" t="s">
        <v>120</v>
      </c>
      <c r="H4" s="6">
        <v>15.6</v>
      </c>
      <c r="I4" s="4">
        <v>100</v>
      </c>
      <c r="K4" s="5">
        <v>45982</v>
      </c>
      <c r="L4" s="1" t="s">
        <v>111</v>
      </c>
      <c r="M4" s="6">
        <v>15451.91</v>
      </c>
      <c r="N4" s="4">
        <v>0.71793971999999995</v>
      </c>
    </row>
    <row r="5" spans="1:14" x14ac:dyDescent="0.2">
      <c r="A5" s="5">
        <v>45968</v>
      </c>
      <c r="B5" s="5" t="s">
        <v>119</v>
      </c>
      <c r="C5" s="21">
        <v>2065</v>
      </c>
      <c r="D5" s="4">
        <v>-2</v>
      </c>
      <c r="F5" s="5">
        <v>45979</v>
      </c>
      <c r="G5" s="4" t="s">
        <v>120</v>
      </c>
      <c r="H5" s="6">
        <v>17.5</v>
      </c>
      <c r="I5" s="4">
        <v>200</v>
      </c>
      <c r="K5" s="5">
        <v>45976</v>
      </c>
      <c r="L5" s="1" t="s">
        <v>111</v>
      </c>
      <c r="M5" s="6">
        <v>16780.349999999999</v>
      </c>
      <c r="N5" s="4">
        <v>-1.7878049999999999E-2</v>
      </c>
    </row>
    <row r="6" spans="1:14" x14ac:dyDescent="0.2">
      <c r="A6" s="5">
        <v>45966</v>
      </c>
      <c r="B6" s="5" t="s">
        <v>119</v>
      </c>
      <c r="C6" s="21">
        <v>2012</v>
      </c>
      <c r="D6" s="4">
        <v>-1</v>
      </c>
      <c r="F6" s="5">
        <v>45975</v>
      </c>
      <c r="G6" s="4" t="s">
        <v>120</v>
      </c>
      <c r="H6" s="6">
        <v>18.82</v>
      </c>
      <c r="I6" s="4">
        <v>-300</v>
      </c>
      <c r="K6" s="5">
        <v>45975</v>
      </c>
      <c r="L6" s="1" t="s">
        <v>111</v>
      </c>
      <c r="M6" s="6">
        <v>17059.04</v>
      </c>
      <c r="N6" s="4">
        <v>5.8619919999999999E-2</v>
      </c>
    </row>
    <row r="7" spans="1:14" x14ac:dyDescent="0.2">
      <c r="A7" s="5">
        <v>45954</v>
      </c>
      <c r="B7" s="5" t="s">
        <v>119</v>
      </c>
      <c r="C7" s="21">
        <v>1841</v>
      </c>
      <c r="D7" s="4">
        <v>1</v>
      </c>
      <c r="F7" s="5">
        <v>45974</v>
      </c>
      <c r="G7" s="4" t="s">
        <v>120</v>
      </c>
      <c r="H7" s="6">
        <v>18.899999999999999</v>
      </c>
      <c r="I7" s="4">
        <v>600</v>
      </c>
      <c r="K7" s="5">
        <v>45965</v>
      </c>
      <c r="L7" s="1" t="s">
        <v>111</v>
      </c>
      <c r="M7" s="6">
        <v>19778.46</v>
      </c>
      <c r="N7" s="4">
        <v>0.11492198000000001</v>
      </c>
    </row>
    <row r="8" spans="1:14" x14ac:dyDescent="0.2">
      <c r="A8" s="5">
        <v>45954</v>
      </c>
      <c r="B8" s="5" t="s">
        <v>119</v>
      </c>
      <c r="C8" s="21">
        <v>1852</v>
      </c>
      <c r="D8" s="4">
        <v>2</v>
      </c>
      <c r="F8" s="5">
        <v>45973</v>
      </c>
      <c r="G8" s="4" t="s">
        <v>17</v>
      </c>
      <c r="H8" s="6">
        <v>4.3267499999999997</v>
      </c>
      <c r="I8" s="4">
        <v>-4000</v>
      </c>
      <c r="K8" s="5">
        <v>45964</v>
      </c>
      <c r="L8" s="1" t="s">
        <v>111</v>
      </c>
      <c r="M8" s="6">
        <v>970.53689999999995</v>
      </c>
      <c r="N8" s="4">
        <v>1.64857206</v>
      </c>
    </row>
    <row r="9" spans="1:14" x14ac:dyDescent="0.2">
      <c r="A9" s="5">
        <v>45945</v>
      </c>
      <c r="B9" s="5" t="s">
        <v>117</v>
      </c>
      <c r="C9" s="21">
        <v>4226.34</v>
      </c>
      <c r="D9" s="4">
        <v>2</v>
      </c>
      <c r="F9" s="5">
        <v>45959</v>
      </c>
      <c r="G9" s="4" t="s">
        <v>11</v>
      </c>
      <c r="H9" s="6">
        <v>63.31</v>
      </c>
      <c r="I9" s="4">
        <v>-100</v>
      </c>
      <c r="K9" s="5">
        <v>45964</v>
      </c>
      <c r="L9" s="1" t="s">
        <v>111</v>
      </c>
      <c r="M9" s="6">
        <v>20552.89</v>
      </c>
      <c r="N9" s="4">
        <v>0.28706419999999999</v>
      </c>
    </row>
    <row r="10" spans="1:14" x14ac:dyDescent="0.2">
      <c r="A10" s="5">
        <v>45940</v>
      </c>
      <c r="B10" s="5" t="s">
        <v>118</v>
      </c>
      <c r="C10" s="21">
        <v>175.68</v>
      </c>
      <c r="D10" s="4">
        <v>-1.0751999999999999</v>
      </c>
      <c r="F10" s="5">
        <v>45882</v>
      </c>
      <c r="G10" s="4" t="s">
        <v>9</v>
      </c>
      <c r="H10" s="6">
        <v>5.76</v>
      </c>
      <c r="I10" s="4">
        <v>3000</v>
      </c>
      <c r="K10" s="5">
        <v>45964</v>
      </c>
      <c r="L10" s="1" t="s">
        <v>109</v>
      </c>
      <c r="M10" s="6">
        <v>3.2679999999999998</v>
      </c>
      <c r="N10" s="4">
        <v>489.59608322999998</v>
      </c>
    </row>
    <row r="11" spans="1:14" x14ac:dyDescent="0.2">
      <c r="A11" s="5">
        <v>45938</v>
      </c>
      <c r="B11" s="5" t="s">
        <v>117</v>
      </c>
      <c r="C11" s="21">
        <v>4040</v>
      </c>
      <c r="D11" s="4">
        <v>-2</v>
      </c>
      <c r="F11" s="5">
        <v>45882</v>
      </c>
      <c r="G11" s="4" t="s">
        <v>17</v>
      </c>
      <c r="H11" s="6">
        <v>3.9136000000000002</v>
      </c>
      <c r="I11" s="4">
        <v>4200</v>
      </c>
      <c r="K11" s="5">
        <v>45964</v>
      </c>
      <c r="L11" s="1" t="s">
        <v>110</v>
      </c>
      <c r="M11" s="6">
        <v>99.0535</v>
      </c>
      <c r="N11" s="4">
        <v>16.152887060000001</v>
      </c>
    </row>
    <row r="12" spans="1:14" x14ac:dyDescent="0.2">
      <c r="A12" s="5">
        <v>45937</v>
      </c>
      <c r="B12" s="5" t="s">
        <v>5</v>
      </c>
      <c r="C12" s="21">
        <v>351.9</v>
      </c>
      <c r="D12" s="4">
        <v>5.0587200000000001</v>
      </c>
      <c r="E12" s="4"/>
      <c r="F12" s="5">
        <v>45828</v>
      </c>
      <c r="G12" s="4" t="s">
        <v>9</v>
      </c>
      <c r="H12" s="6">
        <v>5.91</v>
      </c>
      <c r="I12" s="4">
        <v>507</v>
      </c>
      <c r="J12" s="4"/>
      <c r="K12" s="23">
        <v>45902</v>
      </c>
      <c r="L12" s="24" t="s">
        <v>111</v>
      </c>
      <c r="M12" s="25">
        <v>23308.14</v>
      </c>
      <c r="N12" s="24">
        <v>-1.716138E-2</v>
      </c>
    </row>
    <row r="13" spans="1:14" x14ac:dyDescent="0.2">
      <c r="A13" s="5">
        <v>45936</v>
      </c>
      <c r="B13" s="5" t="s">
        <v>116</v>
      </c>
      <c r="C13" s="21">
        <v>150.22</v>
      </c>
      <c r="D13" s="4">
        <v>3739</v>
      </c>
      <c r="E13" s="4"/>
      <c r="F13" s="5">
        <v>45783</v>
      </c>
      <c r="G13" s="4" t="s">
        <v>10</v>
      </c>
      <c r="H13" s="6">
        <v>34.619999999999997</v>
      </c>
      <c r="I13" s="18">
        <v>-400</v>
      </c>
      <c r="J13" s="4"/>
      <c r="K13" s="5">
        <v>45856</v>
      </c>
      <c r="L13" s="4" t="s">
        <v>109</v>
      </c>
      <c r="M13" s="6">
        <v>4.6993</v>
      </c>
      <c r="N13" s="18">
        <v>628.74896261000004</v>
      </c>
    </row>
    <row r="14" spans="1:14" x14ac:dyDescent="0.2">
      <c r="A14" s="5">
        <v>45936</v>
      </c>
      <c r="B14" s="4" t="s">
        <v>116</v>
      </c>
      <c r="C14" s="21">
        <v>149.80000000000001</v>
      </c>
      <c r="D14" s="4">
        <v>1000</v>
      </c>
      <c r="E14" s="4"/>
      <c r="F14" s="5">
        <v>45783</v>
      </c>
      <c r="G14" s="4" t="s">
        <v>10</v>
      </c>
      <c r="H14" s="6">
        <v>34.630000000000003</v>
      </c>
      <c r="I14" s="18">
        <v>-5</v>
      </c>
      <c r="J14" s="4"/>
      <c r="K14" s="5">
        <v>45856</v>
      </c>
      <c r="L14" s="1" t="s">
        <v>109</v>
      </c>
      <c r="M14" s="6">
        <v>4.7317</v>
      </c>
      <c r="N14" s="18">
        <v>625.93993702</v>
      </c>
    </row>
    <row r="15" spans="1:14" x14ac:dyDescent="0.2">
      <c r="A15" s="5">
        <v>45933</v>
      </c>
      <c r="B15" s="4" t="s">
        <v>115</v>
      </c>
      <c r="C15" s="21">
        <v>10.56</v>
      </c>
      <c r="D15" s="4">
        <v>183.99021999999999</v>
      </c>
      <c r="E15" s="4"/>
      <c r="F15" s="5">
        <v>45764</v>
      </c>
      <c r="G15" s="4" t="s">
        <v>11</v>
      </c>
      <c r="H15" s="6">
        <v>52.56</v>
      </c>
      <c r="I15" s="18">
        <v>100</v>
      </c>
      <c r="J15" s="4"/>
      <c r="K15" s="5">
        <v>45856</v>
      </c>
      <c r="L15" s="1" t="s">
        <v>110</v>
      </c>
      <c r="M15" s="6">
        <v>135.91569999999999</v>
      </c>
      <c r="N15" s="18">
        <v>44.145010470000003</v>
      </c>
    </row>
    <row r="16" spans="1:14" x14ac:dyDescent="0.2">
      <c r="A16" s="5">
        <v>45925</v>
      </c>
      <c r="B16" s="4" t="s">
        <v>116</v>
      </c>
      <c r="C16" s="21">
        <v>148.72</v>
      </c>
      <c r="D16" s="4">
        <v>-2039</v>
      </c>
      <c r="E16" s="4"/>
      <c r="F16" s="5">
        <v>45763</v>
      </c>
      <c r="G16" s="4" t="s">
        <v>10</v>
      </c>
      <c r="H16" s="6">
        <v>32.450000000000003</v>
      </c>
      <c r="I16" s="18">
        <v>-17</v>
      </c>
      <c r="J16" s="4"/>
      <c r="K16" s="5">
        <v>45850</v>
      </c>
      <c r="L16" s="1" t="s">
        <v>111</v>
      </c>
      <c r="M16" s="6">
        <v>16194.47</v>
      </c>
      <c r="N16" s="18">
        <v>-1.8524829999999999E-2</v>
      </c>
    </row>
    <row r="17" spans="1:17" x14ac:dyDescent="0.2">
      <c r="A17" s="5">
        <v>45923</v>
      </c>
      <c r="B17" s="4" t="s">
        <v>117</v>
      </c>
      <c r="C17" s="21">
        <v>3784.06</v>
      </c>
      <c r="D17" s="4">
        <v>-1</v>
      </c>
      <c r="E17" s="4"/>
      <c r="F17" s="5">
        <v>45758</v>
      </c>
      <c r="G17" s="4" t="s">
        <v>10</v>
      </c>
      <c r="H17" s="6">
        <v>31.83</v>
      </c>
      <c r="I17" s="18">
        <v>-18</v>
      </c>
      <c r="J17" s="4"/>
      <c r="K17" s="5">
        <v>45850</v>
      </c>
      <c r="L17" s="1" t="s">
        <v>111</v>
      </c>
      <c r="M17" s="6">
        <v>16217.2</v>
      </c>
      <c r="N17" s="18">
        <v>-1.8498870000000001E-2</v>
      </c>
    </row>
    <row r="18" spans="1:17" x14ac:dyDescent="0.2">
      <c r="A18" s="5">
        <v>45915</v>
      </c>
      <c r="B18" s="4" t="s">
        <v>115</v>
      </c>
      <c r="C18" s="21">
        <v>10.74</v>
      </c>
      <c r="D18" s="4">
        <v>85.822999999999993</v>
      </c>
      <c r="E18" s="4"/>
      <c r="F18" s="5">
        <v>45727</v>
      </c>
      <c r="G18" s="4" t="s">
        <v>12</v>
      </c>
      <c r="H18" s="6">
        <v>97.05</v>
      </c>
      <c r="I18" s="18">
        <v>-168</v>
      </c>
      <c r="J18" s="4"/>
      <c r="K18" s="5">
        <v>45850</v>
      </c>
      <c r="L18" s="1" t="s">
        <v>111</v>
      </c>
      <c r="M18" s="6">
        <v>16183.83</v>
      </c>
      <c r="N18" s="18">
        <v>-3.089503E-2</v>
      </c>
    </row>
    <row r="19" spans="1:17" x14ac:dyDescent="0.2">
      <c r="A19" s="5">
        <v>45882</v>
      </c>
      <c r="B19" s="4" t="s">
        <v>115</v>
      </c>
      <c r="C19" s="21">
        <v>13.37</v>
      </c>
      <c r="D19" s="4">
        <v>266.22960999999998</v>
      </c>
      <c r="E19" s="4"/>
      <c r="F19" s="5">
        <v>45700</v>
      </c>
      <c r="G19" s="4" t="s">
        <v>17</v>
      </c>
      <c r="H19" s="6">
        <v>4.16</v>
      </c>
      <c r="I19" s="18">
        <v>400</v>
      </c>
      <c r="J19" s="4"/>
      <c r="K19" s="5">
        <v>45828</v>
      </c>
      <c r="L19" s="1" t="s">
        <v>111</v>
      </c>
      <c r="M19" s="6">
        <v>13617.83</v>
      </c>
      <c r="N19" s="18">
        <v>-0.22029937999999999</v>
      </c>
    </row>
    <row r="20" spans="1:17" x14ac:dyDescent="0.2">
      <c r="A20" s="5">
        <v>45882</v>
      </c>
      <c r="B20" s="4" t="s">
        <v>116</v>
      </c>
      <c r="C20" s="21">
        <v>147.18</v>
      </c>
      <c r="D20" s="4">
        <v>-1000</v>
      </c>
      <c r="E20" s="4"/>
      <c r="F20" s="5">
        <v>45700</v>
      </c>
      <c r="G20" s="4" t="s">
        <v>17</v>
      </c>
      <c r="H20" s="6">
        <v>4.16</v>
      </c>
      <c r="I20" s="18">
        <v>500</v>
      </c>
      <c r="J20" s="4"/>
      <c r="K20" s="5">
        <v>45828</v>
      </c>
      <c r="L20" s="1" t="s">
        <v>111</v>
      </c>
      <c r="M20" s="6">
        <v>14195.91</v>
      </c>
      <c r="N20" s="18">
        <v>0.14235497999999999</v>
      </c>
    </row>
    <row r="21" spans="1:17" x14ac:dyDescent="0.2">
      <c r="A21" s="5">
        <v>45882</v>
      </c>
      <c r="B21" s="4" t="s">
        <v>117</v>
      </c>
      <c r="C21" s="21">
        <v>3354.13</v>
      </c>
      <c r="D21" s="4">
        <v>1</v>
      </c>
      <c r="E21" s="4"/>
      <c r="F21" s="5">
        <v>45700</v>
      </c>
      <c r="G21" s="4" t="s">
        <v>17</v>
      </c>
      <c r="H21" s="6">
        <v>4.16</v>
      </c>
      <c r="I21" s="18">
        <v>400</v>
      </c>
      <c r="J21" s="4"/>
      <c r="K21" s="5">
        <v>45819</v>
      </c>
      <c r="L21" s="1" t="s">
        <v>111</v>
      </c>
      <c r="M21" s="6">
        <v>15226.9</v>
      </c>
      <c r="N21" s="18">
        <v>-3.9300700000000001E-2</v>
      </c>
    </row>
    <row r="22" spans="1:17" x14ac:dyDescent="0.2">
      <c r="A22" s="5">
        <v>45881</v>
      </c>
      <c r="B22" s="4" t="s">
        <v>116</v>
      </c>
      <c r="C22" s="21">
        <v>147.77000000000001</v>
      </c>
      <c r="D22" s="4">
        <v>-1700</v>
      </c>
      <c r="E22" s="4"/>
      <c r="F22" s="5">
        <v>45700</v>
      </c>
      <c r="G22" s="4" t="s">
        <v>17</v>
      </c>
      <c r="H22" s="6">
        <v>4.16</v>
      </c>
      <c r="I22" s="18">
        <v>300</v>
      </c>
      <c r="J22" s="4"/>
      <c r="K22" s="5">
        <v>45818</v>
      </c>
      <c r="L22" s="1" t="s">
        <v>111</v>
      </c>
      <c r="M22" s="6">
        <v>15474.18</v>
      </c>
      <c r="N22" s="18">
        <v>-2.5849500000000001E-2</v>
      </c>
    </row>
    <row r="23" spans="1:17" x14ac:dyDescent="0.2">
      <c r="A23" s="5">
        <v>45877</v>
      </c>
      <c r="B23" s="4" t="s">
        <v>115</v>
      </c>
      <c r="C23" s="21">
        <v>14.6</v>
      </c>
      <c r="D23" s="4">
        <v>6.05755</v>
      </c>
      <c r="E23" s="4"/>
      <c r="F23" s="5">
        <v>45700</v>
      </c>
      <c r="G23" s="4" t="s">
        <v>17</v>
      </c>
      <c r="H23" s="6">
        <v>4.16</v>
      </c>
      <c r="I23" s="18">
        <v>100</v>
      </c>
      <c r="J23" s="4"/>
      <c r="K23" s="5">
        <v>45816</v>
      </c>
      <c r="L23" s="1" t="s">
        <v>111</v>
      </c>
      <c r="M23" s="6">
        <v>13977.29</v>
      </c>
      <c r="N23" s="18">
        <v>-3.5772310000000002E-2</v>
      </c>
    </row>
    <row r="24" spans="1:17" x14ac:dyDescent="0.2">
      <c r="A24" s="5">
        <v>45855</v>
      </c>
      <c r="B24" s="4" t="s">
        <v>1</v>
      </c>
      <c r="C24" s="21">
        <v>23.94</v>
      </c>
      <c r="D24" s="4">
        <v>-69.605909999999994</v>
      </c>
      <c r="E24" s="4"/>
      <c r="F24" s="5">
        <v>45700</v>
      </c>
      <c r="G24" s="4" t="s">
        <v>17</v>
      </c>
      <c r="H24" s="6">
        <v>4.1500000000000004</v>
      </c>
      <c r="I24" s="18">
        <v>200</v>
      </c>
      <c r="J24" s="4"/>
      <c r="K24" s="5">
        <v>45815</v>
      </c>
      <c r="L24" s="1" t="s">
        <v>111</v>
      </c>
      <c r="M24" s="6">
        <v>13984.13</v>
      </c>
      <c r="N24" s="18">
        <v>-0.11083985</v>
      </c>
    </row>
    <row r="25" spans="1:17" x14ac:dyDescent="0.2">
      <c r="A25" s="2">
        <v>45831</v>
      </c>
      <c r="B25" s="1" t="s">
        <v>1</v>
      </c>
      <c r="C25" s="3">
        <v>25.36</v>
      </c>
      <c r="D25" s="1">
        <v>69.605909999999994</v>
      </c>
      <c r="F25" s="5">
        <v>45700</v>
      </c>
      <c r="G25" s="4" t="s">
        <v>17</v>
      </c>
      <c r="H25" s="6">
        <v>4.1500000000000004</v>
      </c>
      <c r="I25" s="18">
        <v>24</v>
      </c>
      <c r="J25" s="4"/>
      <c r="K25" s="5">
        <v>45805</v>
      </c>
      <c r="L25" s="1" t="s">
        <v>111</v>
      </c>
      <c r="M25" s="6">
        <v>14921.95</v>
      </c>
      <c r="N25" s="18">
        <v>-6.7015350000000001E-2</v>
      </c>
      <c r="O25" s="4"/>
      <c r="P25" s="4"/>
      <c r="Q25" s="4"/>
    </row>
    <row r="26" spans="1:17" x14ac:dyDescent="0.2">
      <c r="A26" s="2">
        <v>45797</v>
      </c>
      <c r="B26" s="1" t="s">
        <v>112</v>
      </c>
      <c r="C26" s="3">
        <v>1001</v>
      </c>
      <c r="D26" s="1">
        <v>-5</v>
      </c>
      <c r="F26" s="5">
        <v>45700</v>
      </c>
      <c r="G26" s="4" t="s">
        <v>17</v>
      </c>
      <c r="H26" s="6">
        <v>4.1500000000000004</v>
      </c>
      <c r="I26" s="18">
        <v>14</v>
      </c>
      <c r="J26" s="4"/>
      <c r="K26" s="5">
        <v>45803</v>
      </c>
      <c r="L26" s="1" t="s">
        <v>111</v>
      </c>
      <c r="M26" s="6">
        <v>14429.54</v>
      </c>
      <c r="N26" s="18">
        <v>-6.9302249999999996E-2</v>
      </c>
      <c r="O26" s="4"/>
      <c r="P26" s="4"/>
      <c r="Q26" s="4"/>
    </row>
    <row r="27" spans="1:17" x14ac:dyDescent="0.2">
      <c r="A27" s="2">
        <v>45796</v>
      </c>
      <c r="B27" s="1" t="s">
        <v>3</v>
      </c>
      <c r="C27" s="3">
        <v>91.82</v>
      </c>
      <c r="D27" s="1">
        <v>-109.8432</v>
      </c>
      <c r="F27" s="5">
        <v>45700</v>
      </c>
      <c r="G27" s="4" t="s">
        <v>17</v>
      </c>
      <c r="H27" s="6">
        <v>4.1500000000000004</v>
      </c>
      <c r="I27" s="18">
        <v>12</v>
      </c>
      <c r="J27" s="4"/>
      <c r="K27" s="5">
        <v>45800</v>
      </c>
      <c r="L27" s="1" t="s">
        <v>111</v>
      </c>
      <c r="M27" s="6">
        <v>14970.57</v>
      </c>
      <c r="N27" s="18">
        <v>-6.6797700000000002E-2</v>
      </c>
      <c r="O27" s="4"/>
      <c r="P27" s="4"/>
      <c r="Q27" s="4"/>
    </row>
    <row r="28" spans="1:17" x14ac:dyDescent="0.2">
      <c r="A28" s="2">
        <v>45796</v>
      </c>
      <c r="B28" s="1" t="s">
        <v>3</v>
      </c>
      <c r="C28" s="3">
        <v>91.8</v>
      </c>
      <c r="D28" s="1">
        <v>-90</v>
      </c>
      <c r="F28" s="5">
        <v>45659</v>
      </c>
      <c r="G28" s="4" t="s">
        <v>13</v>
      </c>
      <c r="H28" s="6">
        <v>8.73</v>
      </c>
      <c r="I28" s="18">
        <v>-900</v>
      </c>
      <c r="J28" s="4"/>
      <c r="K28" s="5">
        <v>45798</v>
      </c>
      <c r="L28" s="1" t="s">
        <v>111</v>
      </c>
      <c r="M28" s="6">
        <v>14819.58</v>
      </c>
      <c r="N28" s="18">
        <v>0.20243481999999999</v>
      </c>
      <c r="O28" s="4"/>
      <c r="P28" s="4"/>
      <c r="Q28" s="4"/>
    </row>
    <row r="29" spans="1:17" x14ac:dyDescent="0.2">
      <c r="A29" s="2">
        <v>45796</v>
      </c>
      <c r="B29" s="1" t="s">
        <v>5</v>
      </c>
      <c r="C29" s="3">
        <v>417.61</v>
      </c>
      <c r="D29" s="1">
        <v>-6</v>
      </c>
      <c r="F29" s="5">
        <v>45659</v>
      </c>
      <c r="G29" s="4" t="s">
        <v>13</v>
      </c>
      <c r="H29" s="6">
        <v>8.86</v>
      </c>
      <c r="I29" s="18">
        <v>-30</v>
      </c>
      <c r="J29" s="4"/>
      <c r="K29" s="5">
        <v>45764</v>
      </c>
      <c r="L29" s="1" t="s">
        <v>111</v>
      </c>
      <c r="M29" s="6">
        <v>9562.89</v>
      </c>
      <c r="N29" s="18">
        <v>0.33985520000000002</v>
      </c>
      <c r="O29" s="4"/>
      <c r="P29" s="4"/>
      <c r="Q29" s="4"/>
    </row>
    <row r="30" spans="1:17" x14ac:dyDescent="0.2">
      <c r="A30" s="2">
        <v>45796</v>
      </c>
      <c r="B30" s="1" t="s">
        <v>19</v>
      </c>
      <c r="C30" s="3">
        <v>94.24</v>
      </c>
      <c r="D30" s="1">
        <v>-47.365299999999998</v>
      </c>
      <c r="F30" s="5">
        <v>45659</v>
      </c>
      <c r="G30" s="4" t="s">
        <v>13</v>
      </c>
      <c r="H30" s="6">
        <v>8.86</v>
      </c>
      <c r="I30" s="18">
        <v>-1</v>
      </c>
      <c r="J30" s="4"/>
      <c r="K30" s="5">
        <v>45761</v>
      </c>
      <c r="L30" s="1" t="s">
        <v>111</v>
      </c>
      <c r="M30" s="6">
        <v>9733.07</v>
      </c>
      <c r="N30" s="18">
        <v>-2</v>
      </c>
      <c r="O30" s="4"/>
      <c r="P30" s="4"/>
      <c r="Q30" s="4"/>
    </row>
    <row r="31" spans="1:17" x14ac:dyDescent="0.2">
      <c r="A31" s="2">
        <v>45796</v>
      </c>
      <c r="B31" s="3" t="s">
        <v>20</v>
      </c>
      <c r="C31" s="3">
        <v>206.95</v>
      </c>
      <c r="D31" s="1">
        <v>-11.12017</v>
      </c>
      <c r="F31" s="5">
        <v>45659</v>
      </c>
      <c r="G31" s="4" t="s">
        <v>13</v>
      </c>
      <c r="H31" s="6">
        <v>8.86</v>
      </c>
      <c r="I31" s="18">
        <v>-45</v>
      </c>
      <c r="J31" s="4"/>
      <c r="K31" s="5">
        <v>45731</v>
      </c>
      <c r="L31" s="1" t="s">
        <v>111</v>
      </c>
      <c r="M31" s="6">
        <v>11012.93</v>
      </c>
      <c r="N31" s="18">
        <v>-9.0802299999999999E-3</v>
      </c>
      <c r="O31" s="4"/>
      <c r="P31" s="4"/>
      <c r="Q31" s="4"/>
    </row>
    <row r="32" spans="1:17" x14ac:dyDescent="0.2">
      <c r="A32" s="2">
        <v>45778</v>
      </c>
      <c r="B32" s="1" t="s">
        <v>112</v>
      </c>
      <c r="C32" s="3">
        <v>974.5</v>
      </c>
      <c r="D32" s="1">
        <v>-2</v>
      </c>
      <c r="F32" s="5">
        <v>45659</v>
      </c>
      <c r="G32" s="4" t="s">
        <v>13</v>
      </c>
      <c r="H32" s="6">
        <v>8.86</v>
      </c>
      <c r="I32" s="18">
        <v>-1</v>
      </c>
      <c r="J32" s="4"/>
      <c r="K32" s="5">
        <v>45730</v>
      </c>
      <c r="L32" s="1" t="s">
        <v>111</v>
      </c>
      <c r="M32" s="6">
        <v>11121.36</v>
      </c>
      <c r="N32" s="18">
        <v>0.27694532999999999</v>
      </c>
      <c r="O32" s="4"/>
      <c r="P32" s="4"/>
      <c r="Q32" s="4"/>
    </row>
    <row r="33" spans="1:17" x14ac:dyDescent="0.2">
      <c r="A33" s="2">
        <v>45778</v>
      </c>
      <c r="B33" s="1" t="s">
        <v>5</v>
      </c>
      <c r="C33" s="3">
        <v>376.98</v>
      </c>
      <c r="D33" s="1">
        <v>-2</v>
      </c>
      <c r="F33" s="5">
        <v>45659</v>
      </c>
      <c r="G33" s="4" t="s">
        <v>13</v>
      </c>
      <c r="H33" s="6">
        <v>8.86</v>
      </c>
      <c r="I33" s="18">
        <v>-15</v>
      </c>
      <c r="J33" s="4"/>
      <c r="K33" s="5">
        <v>45728</v>
      </c>
      <c r="L33" s="1" t="s">
        <v>111</v>
      </c>
      <c r="M33" s="6">
        <v>10932.77</v>
      </c>
      <c r="N33" s="18">
        <v>1.0015759</v>
      </c>
      <c r="O33" s="4"/>
      <c r="P33" s="4"/>
      <c r="Q33" s="4"/>
    </row>
    <row r="34" spans="1:17" x14ac:dyDescent="0.2">
      <c r="A34" s="2">
        <v>45778</v>
      </c>
      <c r="B34" s="1" t="s">
        <v>20</v>
      </c>
      <c r="C34" s="3">
        <v>211.65</v>
      </c>
      <c r="D34" s="1">
        <v>-25</v>
      </c>
      <c r="F34" s="5">
        <v>45656</v>
      </c>
      <c r="G34" s="4" t="s">
        <v>14</v>
      </c>
      <c r="H34" s="6">
        <v>11.6</v>
      </c>
      <c r="I34" s="18">
        <v>-1056</v>
      </c>
      <c r="J34" s="4"/>
      <c r="K34" s="5">
        <v>45723</v>
      </c>
      <c r="L34" s="1" t="s">
        <v>111</v>
      </c>
      <c r="M34" s="6">
        <v>12881.52</v>
      </c>
      <c r="N34" s="18">
        <v>0.12420879999999999</v>
      </c>
      <c r="O34" s="4"/>
      <c r="P34" s="4"/>
      <c r="Q34" s="4"/>
    </row>
    <row r="35" spans="1:17" x14ac:dyDescent="0.2">
      <c r="A35" s="2">
        <v>45778</v>
      </c>
      <c r="B35" s="1" t="s">
        <v>3</v>
      </c>
      <c r="C35" s="3">
        <v>80.89</v>
      </c>
      <c r="D35" s="1">
        <v>-81</v>
      </c>
      <c r="F35" s="5">
        <v>45656</v>
      </c>
      <c r="G35" s="4" t="s">
        <v>15</v>
      </c>
      <c r="H35" s="6">
        <v>5.32</v>
      </c>
      <c r="I35" s="18">
        <v>-1085</v>
      </c>
      <c r="J35" s="4"/>
      <c r="K35" s="5">
        <v>45723</v>
      </c>
      <c r="L35" s="1" t="s">
        <v>111</v>
      </c>
      <c r="M35" s="6">
        <v>13051.56</v>
      </c>
      <c r="N35" s="18">
        <v>0.38309569999999998</v>
      </c>
      <c r="O35" s="4"/>
      <c r="P35" s="4"/>
      <c r="Q35" s="4"/>
    </row>
    <row r="36" spans="1:17" x14ac:dyDescent="0.2">
      <c r="A36" s="2">
        <v>45778</v>
      </c>
      <c r="B36" s="1" t="s">
        <v>21</v>
      </c>
      <c r="C36" s="3">
        <v>63.67</v>
      </c>
      <c r="D36" s="1">
        <v>-60.162089999999999</v>
      </c>
      <c r="F36" s="5">
        <v>45656</v>
      </c>
      <c r="G36" s="4" t="s">
        <v>12</v>
      </c>
      <c r="H36" s="6">
        <v>98.02</v>
      </c>
      <c r="I36" s="18">
        <v>-56</v>
      </c>
      <c r="J36" s="4"/>
      <c r="K36" s="5">
        <v>45714</v>
      </c>
      <c r="L36" s="1" t="s">
        <v>111</v>
      </c>
      <c r="M36" s="6">
        <v>14108.66</v>
      </c>
      <c r="N36" s="18">
        <v>0.10457471</v>
      </c>
      <c r="O36" s="4"/>
      <c r="P36" s="4"/>
      <c r="Q36" s="4"/>
    </row>
    <row r="37" spans="1:17" x14ac:dyDescent="0.2">
      <c r="A37" s="2">
        <v>45778</v>
      </c>
      <c r="B37" s="1" t="s">
        <v>22</v>
      </c>
      <c r="C37" s="3">
        <v>92.48</v>
      </c>
      <c r="D37" s="1">
        <v>-1.92631</v>
      </c>
      <c r="F37" s="5">
        <v>45621</v>
      </c>
      <c r="G37" s="4" t="s">
        <v>16</v>
      </c>
      <c r="H37" s="6">
        <v>33.270000000000003</v>
      </c>
      <c r="I37" s="18">
        <v>-400</v>
      </c>
      <c r="J37" s="4"/>
      <c r="K37" s="5">
        <v>45714</v>
      </c>
      <c r="L37" s="1" t="s">
        <v>111</v>
      </c>
      <c r="M37" s="6">
        <v>14299.75</v>
      </c>
      <c r="N37" s="18">
        <v>0.76924397</v>
      </c>
      <c r="O37" s="4"/>
      <c r="P37" s="4"/>
      <c r="Q37" s="4"/>
    </row>
    <row r="38" spans="1:17" x14ac:dyDescent="0.2">
      <c r="A38" s="2">
        <v>45778</v>
      </c>
      <c r="B38" s="1" t="s">
        <v>23</v>
      </c>
      <c r="C38" s="3">
        <v>559.33000000000004</v>
      </c>
      <c r="D38" s="1">
        <v>-0.29181000000000001</v>
      </c>
      <c r="F38" s="5">
        <v>45621</v>
      </c>
      <c r="G38" s="4" t="s">
        <v>16</v>
      </c>
      <c r="H38" s="6">
        <v>33.15</v>
      </c>
      <c r="I38" s="18">
        <v>-70</v>
      </c>
      <c r="J38" s="4"/>
      <c r="K38" s="5">
        <v>45713</v>
      </c>
      <c r="L38" s="1" t="s">
        <v>111</v>
      </c>
      <c r="M38" s="6">
        <v>14475.4</v>
      </c>
      <c r="N38" s="18">
        <v>0.55323365000000002</v>
      </c>
      <c r="O38" s="4"/>
      <c r="P38" s="4"/>
      <c r="Q38" s="4"/>
    </row>
    <row r="39" spans="1:17" x14ac:dyDescent="0.2">
      <c r="A39" s="2">
        <v>45761</v>
      </c>
      <c r="B39" s="1" t="s">
        <v>112</v>
      </c>
      <c r="C39" s="3">
        <v>988.5</v>
      </c>
      <c r="D39" s="1">
        <v>-2</v>
      </c>
      <c r="F39" s="5">
        <v>45602</v>
      </c>
      <c r="G39" s="4" t="s">
        <v>17</v>
      </c>
      <c r="H39" s="6">
        <v>8.14</v>
      </c>
      <c r="I39" s="18">
        <v>300</v>
      </c>
      <c r="J39" s="4"/>
      <c r="K39" s="5">
        <v>45713</v>
      </c>
      <c r="L39" s="1" t="s">
        <v>111</v>
      </c>
      <c r="M39" s="6">
        <v>14352.05</v>
      </c>
      <c r="N39" s="18">
        <v>0.12541759</v>
      </c>
      <c r="O39" s="4"/>
      <c r="P39" s="4"/>
      <c r="Q39" s="4"/>
    </row>
    <row r="40" spans="1:17" x14ac:dyDescent="0.2">
      <c r="A40" s="2">
        <v>45761</v>
      </c>
      <c r="B40" s="1" t="s">
        <v>112</v>
      </c>
      <c r="C40" s="3">
        <v>985.5</v>
      </c>
      <c r="D40" s="1">
        <v>-2</v>
      </c>
      <c r="F40" s="5">
        <v>45602</v>
      </c>
      <c r="G40" s="4" t="s">
        <v>17</v>
      </c>
      <c r="H40" s="6">
        <v>8.14</v>
      </c>
      <c r="I40" s="18">
        <v>100</v>
      </c>
      <c r="J40" s="4"/>
      <c r="K40" s="5">
        <v>45996</v>
      </c>
      <c r="L40" s="1" t="s">
        <v>111</v>
      </c>
      <c r="M40" s="6">
        <v>23768.21</v>
      </c>
      <c r="N40" s="18">
        <v>0.46139901999999999</v>
      </c>
      <c r="O40" s="4"/>
      <c r="P40" s="4"/>
      <c r="Q40" s="4"/>
    </row>
    <row r="41" spans="1:17" x14ac:dyDescent="0.2">
      <c r="A41" s="2">
        <v>45756</v>
      </c>
      <c r="B41" s="1" t="s">
        <v>23</v>
      </c>
      <c r="C41" s="3">
        <v>497.31</v>
      </c>
      <c r="D41" s="1">
        <v>0.29181000000000001</v>
      </c>
      <c r="F41" s="5">
        <v>45602</v>
      </c>
      <c r="G41" s="4" t="s">
        <v>17</v>
      </c>
      <c r="H41" s="6">
        <v>8.14</v>
      </c>
      <c r="I41" s="18">
        <v>400</v>
      </c>
      <c r="J41" s="4"/>
      <c r="K41" s="5">
        <v>45993</v>
      </c>
      <c r="L41" s="1" t="s">
        <v>111</v>
      </c>
      <c r="M41" s="6">
        <v>22814.09</v>
      </c>
      <c r="N41" s="18">
        <v>0.8748764</v>
      </c>
      <c r="O41" s="4"/>
      <c r="P41" s="4"/>
      <c r="Q41" s="4"/>
    </row>
    <row r="42" spans="1:17" x14ac:dyDescent="0.2">
      <c r="A42" s="2">
        <v>45756</v>
      </c>
      <c r="B42" s="1" t="s">
        <v>5</v>
      </c>
      <c r="C42" s="3">
        <v>336.1</v>
      </c>
      <c r="D42" s="1">
        <v>0.23802000000000001</v>
      </c>
      <c r="F42" s="5">
        <v>45602</v>
      </c>
      <c r="G42" s="4" t="s">
        <v>17</v>
      </c>
      <c r="H42" s="6">
        <v>8.15</v>
      </c>
      <c r="I42" s="18">
        <v>100</v>
      </c>
      <c r="J42" s="4"/>
      <c r="K42" s="5">
        <v>45993</v>
      </c>
      <c r="L42" s="1" t="s">
        <v>111</v>
      </c>
      <c r="M42" s="6">
        <v>22861.21</v>
      </c>
      <c r="N42" s="18">
        <v>0.18085307</v>
      </c>
      <c r="O42" s="4"/>
      <c r="P42" s="4"/>
      <c r="Q42" s="4"/>
    </row>
    <row r="43" spans="1:17" x14ac:dyDescent="0.2">
      <c r="A43" s="2">
        <v>45756</v>
      </c>
      <c r="B43" s="1" t="s">
        <v>22</v>
      </c>
      <c r="C43" s="3">
        <v>83.06</v>
      </c>
      <c r="D43" s="1">
        <v>1.92631</v>
      </c>
      <c r="F43" s="5">
        <v>45602</v>
      </c>
      <c r="G43" s="4" t="s">
        <v>17</v>
      </c>
      <c r="H43" s="6">
        <v>8.15</v>
      </c>
      <c r="I43" s="18">
        <v>300</v>
      </c>
      <c r="J43" s="4"/>
      <c r="K43" s="5">
        <v>45990</v>
      </c>
      <c r="L43" s="1" t="s">
        <v>111</v>
      </c>
      <c r="M43" s="6">
        <v>21865.33</v>
      </c>
      <c r="N43" s="18">
        <v>0.23159869999999999</v>
      </c>
      <c r="O43" s="4"/>
      <c r="P43" s="4"/>
      <c r="Q43" s="4"/>
    </row>
    <row r="44" spans="1:17" x14ac:dyDescent="0.2">
      <c r="A44" s="2">
        <v>45756</v>
      </c>
      <c r="B44" s="1" t="s">
        <v>3</v>
      </c>
      <c r="C44" s="3">
        <v>66.72</v>
      </c>
      <c r="D44" s="1">
        <v>5.9954200000000002</v>
      </c>
      <c r="F44" s="5">
        <v>45602</v>
      </c>
      <c r="G44" s="4" t="s">
        <v>17</v>
      </c>
      <c r="H44" s="6">
        <v>8.14</v>
      </c>
      <c r="I44" s="18">
        <v>100</v>
      </c>
      <c r="J44" s="4"/>
      <c r="K44" s="5">
        <v>45988</v>
      </c>
      <c r="L44" s="1" t="s">
        <v>111</v>
      </c>
      <c r="M44" s="6">
        <v>20862.88</v>
      </c>
      <c r="N44" s="18">
        <v>0.28514662000000002</v>
      </c>
      <c r="O44" s="4"/>
      <c r="P44" s="4"/>
      <c r="Q44" s="4"/>
    </row>
    <row r="45" spans="1:17" x14ac:dyDescent="0.2">
      <c r="A45" s="2">
        <v>45740</v>
      </c>
      <c r="B45" s="1" t="s">
        <v>112</v>
      </c>
      <c r="C45" s="3">
        <v>1027</v>
      </c>
      <c r="D45" s="1">
        <v>-1</v>
      </c>
      <c r="F45" s="5">
        <v>45602</v>
      </c>
      <c r="G45" s="4" t="s">
        <v>17</v>
      </c>
      <c r="H45" s="6">
        <v>8.15</v>
      </c>
      <c r="I45" s="18">
        <v>300</v>
      </c>
      <c r="J45" s="4"/>
      <c r="K45" s="5">
        <v>45988</v>
      </c>
      <c r="L45" s="1" t="s">
        <v>111</v>
      </c>
      <c r="M45" s="6">
        <v>20422.14</v>
      </c>
      <c r="N45" s="18">
        <v>0.13234704</v>
      </c>
      <c r="O45" s="4"/>
      <c r="P45" s="4"/>
      <c r="Q45" s="4"/>
    </row>
    <row r="46" spans="1:17" x14ac:dyDescent="0.2">
      <c r="A46" s="2">
        <v>45740</v>
      </c>
      <c r="B46" s="1" t="s">
        <v>20</v>
      </c>
      <c r="C46" s="3">
        <v>220.06</v>
      </c>
      <c r="D46" s="1">
        <v>-5</v>
      </c>
      <c r="F46" s="5">
        <v>45602</v>
      </c>
      <c r="G46" s="4" t="s">
        <v>17</v>
      </c>
      <c r="H46" s="6">
        <v>8.16</v>
      </c>
      <c r="I46" s="18">
        <v>50</v>
      </c>
      <c r="J46" s="4"/>
      <c r="K46" s="5">
        <v>45988</v>
      </c>
      <c r="L46" s="1" t="s">
        <v>111</v>
      </c>
      <c r="M46" s="6">
        <v>20528.72</v>
      </c>
      <c r="N46" s="18">
        <v>1.3338177</v>
      </c>
      <c r="O46" s="4"/>
      <c r="P46" s="4"/>
      <c r="Q46" s="4"/>
    </row>
    <row r="47" spans="1:17" x14ac:dyDescent="0.2">
      <c r="A47" s="2">
        <v>45740</v>
      </c>
      <c r="B47" s="1" t="s">
        <v>24</v>
      </c>
      <c r="C47" s="3">
        <v>22.2</v>
      </c>
      <c r="D47" s="1">
        <v>-180</v>
      </c>
      <c r="F47" s="5">
        <v>45602</v>
      </c>
      <c r="G47" s="4" t="s">
        <v>17</v>
      </c>
      <c r="H47" s="6">
        <v>8.1300000000000008</v>
      </c>
      <c r="I47" s="18">
        <v>400</v>
      </c>
      <c r="J47" s="4"/>
      <c r="K47" s="5">
        <v>45986</v>
      </c>
      <c r="L47" s="1" t="s">
        <v>111</v>
      </c>
      <c r="M47" s="6">
        <v>20591.689999999999</v>
      </c>
      <c r="N47" s="18">
        <v>0.58279210000000004</v>
      </c>
      <c r="O47" s="4"/>
      <c r="P47" s="4"/>
      <c r="Q47" s="4"/>
    </row>
    <row r="48" spans="1:17" x14ac:dyDescent="0.2">
      <c r="A48" s="2">
        <v>45721</v>
      </c>
      <c r="B48" s="1" t="s">
        <v>112</v>
      </c>
      <c r="C48" s="3">
        <v>935.5</v>
      </c>
      <c r="D48" s="1">
        <v>-1</v>
      </c>
      <c r="F48" s="5">
        <v>45602</v>
      </c>
      <c r="G48" s="4" t="s">
        <v>17</v>
      </c>
      <c r="H48" s="6">
        <v>8.1300000000000008</v>
      </c>
      <c r="I48" s="18">
        <v>100</v>
      </c>
      <c r="J48" s="4"/>
      <c r="K48" s="5">
        <v>45986</v>
      </c>
      <c r="L48" s="1" t="s">
        <v>111</v>
      </c>
      <c r="M48" s="6">
        <v>20647.66</v>
      </c>
      <c r="N48" s="18">
        <v>0.29058972</v>
      </c>
      <c r="O48" s="4"/>
      <c r="P48" s="4"/>
      <c r="Q48" s="4"/>
    </row>
    <row r="49" spans="1:17" x14ac:dyDescent="0.2">
      <c r="A49" s="2">
        <v>45721</v>
      </c>
      <c r="B49" s="1" t="s">
        <v>112</v>
      </c>
      <c r="C49" s="3">
        <v>936</v>
      </c>
      <c r="D49" s="1">
        <v>1</v>
      </c>
      <c r="F49" s="5">
        <v>45602</v>
      </c>
      <c r="G49" s="4" t="s">
        <v>17</v>
      </c>
      <c r="H49" s="6">
        <v>8.1300000000000008</v>
      </c>
      <c r="I49" s="18">
        <v>200</v>
      </c>
      <c r="J49" s="4"/>
      <c r="K49" s="5">
        <v>45986</v>
      </c>
      <c r="L49" s="1" t="s">
        <v>111</v>
      </c>
      <c r="M49" s="6">
        <v>20445.849999999999</v>
      </c>
      <c r="N49" s="18">
        <v>6.443749E-2</v>
      </c>
      <c r="O49" s="4"/>
      <c r="P49" s="6"/>
      <c r="Q49" s="4"/>
    </row>
    <row r="50" spans="1:17" x14ac:dyDescent="0.2">
      <c r="A50" s="2">
        <v>45698</v>
      </c>
      <c r="B50" s="1" t="s">
        <v>3</v>
      </c>
      <c r="C50" s="3">
        <v>78.91</v>
      </c>
      <c r="D50" s="1">
        <v>-56</v>
      </c>
      <c r="F50" s="5">
        <v>45602</v>
      </c>
      <c r="G50" s="4" t="s">
        <v>17</v>
      </c>
      <c r="H50" s="6">
        <v>8.1199999999999992</v>
      </c>
      <c r="I50" s="18">
        <v>200</v>
      </c>
      <c r="J50" s="4"/>
      <c r="K50" s="5">
        <v>45985</v>
      </c>
      <c r="L50" s="1" t="s">
        <v>111</v>
      </c>
      <c r="M50" s="6">
        <v>19671.82</v>
      </c>
      <c r="N50" s="18">
        <v>0.16373668</v>
      </c>
      <c r="O50" s="4"/>
      <c r="P50" s="4"/>
      <c r="Q50" s="4"/>
    </row>
    <row r="51" spans="1:17" x14ac:dyDescent="0.2">
      <c r="A51" s="2">
        <v>45693</v>
      </c>
      <c r="B51" s="1" t="s">
        <v>3</v>
      </c>
      <c r="C51" s="3">
        <v>64.31</v>
      </c>
      <c r="D51" s="1">
        <v>129.22266999999999</v>
      </c>
      <c r="F51" s="5">
        <v>45602</v>
      </c>
      <c r="G51" s="4" t="s">
        <v>17</v>
      </c>
      <c r="H51" s="6">
        <v>8.1199999999999992</v>
      </c>
      <c r="I51" s="18">
        <v>100</v>
      </c>
      <c r="J51" s="4"/>
      <c r="K51" s="5">
        <v>45795</v>
      </c>
      <c r="L51" s="1" t="s">
        <v>114</v>
      </c>
      <c r="M51" s="6">
        <v>340253.77</v>
      </c>
      <c r="N51" s="18">
        <v>-0.11578914999999999</v>
      </c>
      <c r="O51" s="4"/>
      <c r="P51" s="4"/>
      <c r="Q51" s="4"/>
    </row>
    <row r="52" spans="1:17" x14ac:dyDescent="0.2">
      <c r="A52" s="2">
        <v>45685</v>
      </c>
      <c r="B52" s="1" t="s">
        <v>112</v>
      </c>
      <c r="C52" s="3">
        <v>893</v>
      </c>
      <c r="D52" s="1">
        <v>2</v>
      </c>
      <c r="F52" s="5">
        <v>45602</v>
      </c>
      <c r="G52" s="4" t="s">
        <v>17</v>
      </c>
      <c r="H52" s="6">
        <v>8.1999999999999993</v>
      </c>
      <c r="I52" s="18">
        <v>100</v>
      </c>
      <c r="J52" s="4"/>
      <c r="K52" s="5">
        <v>45795</v>
      </c>
      <c r="L52" s="1" t="s">
        <v>111</v>
      </c>
      <c r="M52" s="6">
        <v>15858.5</v>
      </c>
      <c r="N52" s="18">
        <v>-0.83954508000000005</v>
      </c>
      <c r="O52" s="4"/>
      <c r="P52" s="4"/>
      <c r="Q52" s="4"/>
    </row>
    <row r="53" spans="1:17" x14ac:dyDescent="0.2">
      <c r="A53" s="2">
        <v>45684</v>
      </c>
      <c r="B53" s="1" t="s">
        <v>112</v>
      </c>
      <c r="C53" s="3">
        <v>894</v>
      </c>
      <c r="D53" s="1">
        <v>4</v>
      </c>
      <c r="F53" s="5">
        <v>45602</v>
      </c>
      <c r="G53" s="4" t="s">
        <v>17</v>
      </c>
      <c r="H53" s="6">
        <v>8.1999999999999993</v>
      </c>
      <c r="I53" s="18">
        <v>100</v>
      </c>
      <c r="J53" s="4"/>
      <c r="K53" s="5">
        <v>45762</v>
      </c>
      <c r="L53" s="1" t="s">
        <v>114</v>
      </c>
      <c r="M53" s="6">
        <v>333555.03000000003</v>
      </c>
      <c r="N53" s="18">
        <v>2.9979999999999998E-3</v>
      </c>
      <c r="O53" s="4"/>
      <c r="P53" s="4"/>
      <c r="Q53" s="4"/>
    </row>
    <row r="54" spans="1:17" x14ac:dyDescent="0.2">
      <c r="A54" s="2">
        <v>45680</v>
      </c>
      <c r="B54" s="1" t="s">
        <v>112</v>
      </c>
      <c r="C54" s="3">
        <v>928.5</v>
      </c>
      <c r="D54" s="1">
        <v>1</v>
      </c>
      <c r="F54" s="5">
        <v>45602</v>
      </c>
      <c r="G54" s="4" t="s">
        <v>17</v>
      </c>
      <c r="H54" s="6">
        <v>8.1999999999999993</v>
      </c>
      <c r="I54" s="18">
        <v>100</v>
      </c>
      <c r="J54" s="4"/>
      <c r="K54" s="5">
        <v>45761</v>
      </c>
      <c r="L54" s="1" t="s">
        <v>111</v>
      </c>
      <c r="M54" s="6">
        <v>16452.87</v>
      </c>
      <c r="N54" s="18">
        <v>1.2155920000000001E-2</v>
      </c>
      <c r="O54" s="4"/>
      <c r="P54" s="4"/>
      <c r="Q54" s="4"/>
    </row>
    <row r="55" spans="1:17" x14ac:dyDescent="0.2">
      <c r="A55" s="2">
        <v>45674</v>
      </c>
      <c r="B55" s="1" t="s">
        <v>112</v>
      </c>
      <c r="C55" s="3">
        <v>918.5</v>
      </c>
      <c r="D55" s="1">
        <v>1</v>
      </c>
      <c r="F55" s="5">
        <v>45602</v>
      </c>
      <c r="G55" s="4" t="s">
        <v>17</v>
      </c>
      <c r="H55" s="6">
        <v>8.1999999999999993</v>
      </c>
      <c r="I55" s="18">
        <v>100</v>
      </c>
      <c r="J55" s="4"/>
      <c r="K55" s="5">
        <v>45761</v>
      </c>
      <c r="L55" s="1" t="s">
        <v>111</v>
      </c>
      <c r="M55" s="6">
        <v>16247.53</v>
      </c>
      <c r="N55" s="18">
        <v>0.11078605</v>
      </c>
      <c r="O55" s="4"/>
      <c r="P55" s="4"/>
      <c r="Q55" s="4"/>
    </row>
    <row r="56" spans="1:17" x14ac:dyDescent="0.2">
      <c r="A56" s="2">
        <v>45674</v>
      </c>
      <c r="B56" s="1" t="s">
        <v>21</v>
      </c>
      <c r="C56" s="3">
        <v>59.09</v>
      </c>
      <c r="D56" s="1">
        <v>7.9854700000000003</v>
      </c>
      <c r="F56" s="5">
        <v>45602</v>
      </c>
      <c r="G56" s="4" t="s">
        <v>17</v>
      </c>
      <c r="H56" s="6">
        <v>8.1999999999999993</v>
      </c>
      <c r="I56" s="18">
        <v>200</v>
      </c>
      <c r="J56" s="4"/>
      <c r="K56" s="5">
        <v>45761</v>
      </c>
      <c r="L56" s="1" t="s">
        <v>111</v>
      </c>
      <c r="M56" s="6">
        <v>16295.1</v>
      </c>
      <c r="N56" s="18">
        <v>6.1368109999999997E-2</v>
      </c>
      <c r="O56" s="4"/>
      <c r="P56" s="4"/>
      <c r="Q56" s="4"/>
    </row>
    <row r="57" spans="1:17" x14ac:dyDescent="0.2">
      <c r="A57" s="2">
        <v>45674</v>
      </c>
      <c r="B57" s="1" t="s">
        <v>21</v>
      </c>
      <c r="C57" s="3">
        <v>59.22</v>
      </c>
      <c r="D57" s="1">
        <v>52.17662</v>
      </c>
      <c r="F57" s="5">
        <v>45602</v>
      </c>
      <c r="G57" s="4" t="s">
        <v>17</v>
      </c>
      <c r="H57" s="6">
        <v>8.15</v>
      </c>
      <c r="I57" s="18">
        <v>100</v>
      </c>
      <c r="J57" s="4"/>
      <c r="K57" s="5">
        <v>45760</v>
      </c>
      <c r="L57" s="1" t="s">
        <v>111</v>
      </c>
      <c r="M57" s="6">
        <v>17028.55</v>
      </c>
      <c r="N57" s="18">
        <v>5.8724890000000002E-2</v>
      </c>
      <c r="O57" s="4"/>
      <c r="P57" s="4"/>
      <c r="Q57" s="4"/>
    </row>
    <row r="58" spans="1:17" x14ac:dyDescent="0.2">
      <c r="A58" s="2">
        <v>45673</v>
      </c>
      <c r="B58" s="1" t="s">
        <v>112</v>
      </c>
      <c r="C58" s="3">
        <v>931.5</v>
      </c>
      <c r="D58" s="1">
        <v>1</v>
      </c>
      <c r="F58" s="5">
        <v>45602</v>
      </c>
      <c r="G58" s="4" t="s">
        <v>17</v>
      </c>
      <c r="H58" s="6">
        <v>8.15</v>
      </c>
      <c r="I58" s="18">
        <v>200</v>
      </c>
      <c r="J58" s="4"/>
      <c r="K58" s="5">
        <v>45736</v>
      </c>
      <c r="L58" s="1" t="s">
        <v>111</v>
      </c>
      <c r="M58" s="6">
        <v>16766.3</v>
      </c>
      <c r="N58" s="18">
        <v>2.9821710000000001E-2</v>
      </c>
      <c r="O58" s="4"/>
      <c r="P58" s="4"/>
      <c r="Q58" s="4"/>
    </row>
    <row r="59" spans="1:17" x14ac:dyDescent="0.2">
      <c r="A59" s="2">
        <v>45672</v>
      </c>
      <c r="B59" s="1" t="s">
        <v>112</v>
      </c>
      <c r="C59" s="3">
        <v>915</v>
      </c>
      <c r="D59" s="1">
        <v>1</v>
      </c>
      <c r="F59" s="5">
        <v>45602</v>
      </c>
      <c r="G59" s="4" t="s">
        <v>17</v>
      </c>
      <c r="H59" s="6">
        <v>8.1</v>
      </c>
      <c r="I59" s="18">
        <v>300</v>
      </c>
      <c r="J59" s="4"/>
      <c r="K59" s="5">
        <v>45735</v>
      </c>
      <c r="L59" s="1" t="s">
        <v>111</v>
      </c>
      <c r="M59" s="6">
        <v>16429.48</v>
      </c>
      <c r="N59" s="18">
        <v>1.217323E-2</v>
      </c>
      <c r="O59" s="4"/>
      <c r="P59" s="4"/>
      <c r="Q59" s="4"/>
    </row>
    <row r="60" spans="1:17" x14ac:dyDescent="0.2">
      <c r="A60" s="2">
        <v>45672</v>
      </c>
      <c r="B60" s="1" t="s">
        <v>112</v>
      </c>
      <c r="C60" s="3">
        <v>911.5</v>
      </c>
      <c r="D60" s="1">
        <v>1</v>
      </c>
      <c r="F60" s="5">
        <v>45520</v>
      </c>
      <c r="G60" s="4" t="s">
        <v>9</v>
      </c>
      <c r="H60" s="6">
        <v>0.14000000000000001</v>
      </c>
      <c r="I60" s="18">
        <v>100</v>
      </c>
      <c r="J60" s="4"/>
      <c r="K60" s="5">
        <v>45735</v>
      </c>
      <c r="L60" s="1" t="s">
        <v>111</v>
      </c>
      <c r="M60" s="6">
        <v>16648.88</v>
      </c>
      <c r="N60" s="18">
        <v>1.2012810000000001E-2</v>
      </c>
      <c r="O60" s="4"/>
      <c r="P60" s="4"/>
      <c r="Q60" s="4"/>
    </row>
    <row r="61" spans="1:17" x14ac:dyDescent="0.2">
      <c r="A61" s="2">
        <v>45672</v>
      </c>
      <c r="B61" s="1" t="s">
        <v>5</v>
      </c>
      <c r="C61" s="3">
        <v>417.95</v>
      </c>
      <c r="D61" s="1">
        <v>0.47493999999999997</v>
      </c>
      <c r="F61" s="5">
        <v>45520</v>
      </c>
      <c r="G61" s="4" t="s">
        <v>9</v>
      </c>
      <c r="H61" s="6">
        <v>0.14000000000000001</v>
      </c>
      <c r="I61" s="18">
        <v>54000</v>
      </c>
      <c r="J61" s="4"/>
      <c r="K61" s="5">
        <v>45735</v>
      </c>
      <c r="L61" s="1" t="s">
        <v>111</v>
      </c>
      <c r="M61" s="6">
        <v>17181.439999999999</v>
      </c>
      <c r="N61" s="18">
        <v>2.9101160000000001E-2</v>
      </c>
      <c r="O61" s="4"/>
      <c r="P61" s="4"/>
      <c r="Q61" s="4"/>
    </row>
    <row r="62" spans="1:17" x14ac:dyDescent="0.2">
      <c r="A62" s="2">
        <v>45671</v>
      </c>
      <c r="B62" s="1" t="s">
        <v>112</v>
      </c>
      <c r="C62" s="3">
        <v>919.5</v>
      </c>
      <c r="D62" s="1">
        <v>1</v>
      </c>
      <c r="F62" s="5">
        <v>45882</v>
      </c>
      <c r="G62" s="4" t="s">
        <v>9</v>
      </c>
      <c r="H62" s="6">
        <v>0.41</v>
      </c>
      <c r="I62" s="18">
        <v>47100</v>
      </c>
      <c r="J62" s="4"/>
      <c r="K62" s="5">
        <v>45735</v>
      </c>
      <c r="L62" s="1" t="s">
        <v>114</v>
      </c>
      <c r="M62" s="6">
        <v>327534.77</v>
      </c>
      <c r="N62" s="18">
        <v>1.83186E-3</v>
      </c>
      <c r="O62" s="4"/>
      <c r="P62" s="4"/>
      <c r="Q62" s="4"/>
    </row>
    <row r="63" spans="1:17" x14ac:dyDescent="0.2">
      <c r="A63" s="2">
        <v>45659</v>
      </c>
      <c r="B63" s="1" t="s">
        <v>5</v>
      </c>
      <c r="C63" s="3">
        <v>407.89</v>
      </c>
      <c r="D63" s="1">
        <v>1.21672</v>
      </c>
      <c r="F63" s="5">
        <v>45882</v>
      </c>
      <c r="G63" s="4" t="s">
        <v>15</v>
      </c>
      <c r="H63" s="6">
        <v>7</v>
      </c>
      <c r="I63" s="18">
        <v>-1100</v>
      </c>
      <c r="J63" s="4"/>
      <c r="K63" s="5">
        <v>45733</v>
      </c>
      <c r="L63" s="1" t="s">
        <v>114</v>
      </c>
      <c r="M63" s="6">
        <v>332979.32</v>
      </c>
      <c r="N63" s="18">
        <v>1.5015899999999999E-3</v>
      </c>
      <c r="O63" s="4"/>
      <c r="P63" s="4"/>
      <c r="Q63" s="4"/>
    </row>
    <row r="64" spans="1:17" x14ac:dyDescent="0.2">
      <c r="A64" s="2">
        <v>45659</v>
      </c>
      <c r="B64" s="1" t="s">
        <v>19</v>
      </c>
      <c r="C64" s="3">
        <v>84.45</v>
      </c>
      <c r="D64" s="1">
        <v>47.365299999999998</v>
      </c>
      <c r="F64" s="5">
        <v>45510</v>
      </c>
      <c r="G64" s="4" t="s">
        <v>9</v>
      </c>
      <c r="H64" s="6">
        <v>0.6</v>
      </c>
      <c r="I64" s="18">
        <v>26500</v>
      </c>
      <c r="J64" s="4"/>
      <c r="K64" s="5">
        <v>45733</v>
      </c>
      <c r="L64" s="1" t="s">
        <v>111</v>
      </c>
      <c r="M64" s="6">
        <v>17635.04</v>
      </c>
      <c r="N64" s="18">
        <v>5.670526E-2</v>
      </c>
      <c r="O64" s="4"/>
      <c r="P64" s="4"/>
      <c r="Q64" s="4"/>
    </row>
    <row r="65" spans="1:17" x14ac:dyDescent="0.2">
      <c r="A65" s="2">
        <v>45659</v>
      </c>
      <c r="B65" s="1" t="s">
        <v>3</v>
      </c>
      <c r="C65" s="3">
        <v>62.28</v>
      </c>
      <c r="D65" s="1">
        <v>240.84778</v>
      </c>
      <c r="F65" s="5">
        <v>45510</v>
      </c>
      <c r="G65" s="4" t="s">
        <v>16</v>
      </c>
      <c r="H65" s="6">
        <v>32.159999999999997</v>
      </c>
      <c r="I65" s="18">
        <v>470</v>
      </c>
      <c r="J65" s="4"/>
      <c r="K65" s="5">
        <v>45732</v>
      </c>
      <c r="L65" s="1" t="s">
        <v>114</v>
      </c>
      <c r="M65" s="6">
        <v>335686.88</v>
      </c>
      <c r="N65" s="18">
        <v>2.6542800000000002E-3</v>
      </c>
      <c r="O65" s="4"/>
      <c r="P65" s="4"/>
      <c r="Q65" s="4"/>
    </row>
    <row r="66" spans="1:17" x14ac:dyDescent="0.2">
      <c r="A66" s="2">
        <v>45659</v>
      </c>
      <c r="B66" s="1" t="s">
        <v>5</v>
      </c>
      <c r="C66" s="3">
        <v>449.28</v>
      </c>
      <c r="D66" s="1">
        <v>11.12904</v>
      </c>
      <c r="F66" s="5">
        <v>45833</v>
      </c>
      <c r="G66" s="4" t="s">
        <v>14</v>
      </c>
      <c r="H66" s="6">
        <v>12.33</v>
      </c>
      <c r="I66" s="18">
        <v>243</v>
      </c>
      <c r="J66" s="4"/>
      <c r="K66" s="5">
        <v>45732</v>
      </c>
      <c r="L66" s="1" t="s">
        <v>114</v>
      </c>
      <c r="M66" s="6">
        <v>335446.62</v>
      </c>
      <c r="N66" s="18">
        <v>5.9622E-3</v>
      </c>
      <c r="O66" s="4"/>
      <c r="P66" s="4"/>
      <c r="Q66" s="4"/>
    </row>
    <row r="67" spans="1:17" x14ac:dyDescent="0.2">
      <c r="A67" s="2">
        <v>45659</v>
      </c>
      <c r="B67" s="1" t="s">
        <v>24</v>
      </c>
      <c r="C67" s="3">
        <v>22.52</v>
      </c>
      <c r="D67" s="1">
        <v>180</v>
      </c>
      <c r="F67" s="5">
        <v>45804</v>
      </c>
      <c r="G67" s="4" t="s">
        <v>18</v>
      </c>
      <c r="H67" s="6">
        <v>18.23</v>
      </c>
      <c r="I67" s="18">
        <v>-360</v>
      </c>
      <c r="J67" s="4"/>
      <c r="K67" s="5">
        <v>45732</v>
      </c>
      <c r="L67" s="1" t="s">
        <v>111</v>
      </c>
      <c r="M67" s="6">
        <v>17990.240000000002</v>
      </c>
      <c r="N67" s="18">
        <v>5.5586240000000002E-2</v>
      </c>
      <c r="O67" s="4"/>
      <c r="P67" s="4"/>
      <c r="Q67" s="4"/>
    </row>
    <row r="68" spans="1:17" x14ac:dyDescent="0.2">
      <c r="A68" s="2">
        <v>45659</v>
      </c>
      <c r="B68" s="1" t="s">
        <v>25</v>
      </c>
      <c r="C68" s="3">
        <v>11.71</v>
      </c>
      <c r="D68" s="1">
        <v>-497.16503999999998</v>
      </c>
      <c r="F68" s="5">
        <v>45797</v>
      </c>
      <c r="G68" s="4" t="s">
        <v>103</v>
      </c>
      <c r="H68" s="6">
        <v>14.27</v>
      </c>
      <c r="I68" s="18">
        <v>-580</v>
      </c>
      <c r="J68" s="4"/>
      <c r="K68" s="5">
        <v>45731</v>
      </c>
      <c r="L68" s="1" t="s">
        <v>111</v>
      </c>
      <c r="M68" s="6">
        <v>18606.61</v>
      </c>
      <c r="N68" s="18">
        <v>1.0748860000000001E-2</v>
      </c>
      <c r="O68" s="4"/>
      <c r="P68" s="4"/>
      <c r="Q68" s="4"/>
    </row>
    <row r="69" spans="1:17" x14ac:dyDescent="0.2">
      <c r="A69" s="2">
        <v>46021</v>
      </c>
      <c r="B69" s="1" t="s">
        <v>20</v>
      </c>
      <c r="C69" s="3">
        <v>252.82</v>
      </c>
      <c r="D69" s="1">
        <v>-28</v>
      </c>
      <c r="F69" s="5">
        <v>45797</v>
      </c>
      <c r="G69" s="4" t="s">
        <v>104</v>
      </c>
      <c r="H69" s="6">
        <v>41.63</v>
      </c>
      <c r="I69" s="18">
        <v>-300</v>
      </c>
      <c r="J69" s="4"/>
      <c r="K69" s="5">
        <v>45731</v>
      </c>
      <c r="L69" s="1" t="s">
        <v>111</v>
      </c>
      <c r="M69" s="6">
        <v>18579.05</v>
      </c>
      <c r="N69" s="18">
        <v>4.3059239999999999E-2</v>
      </c>
      <c r="O69" s="4"/>
      <c r="P69" s="4"/>
      <c r="Q69" s="4"/>
    </row>
    <row r="70" spans="1:17" x14ac:dyDescent="0.2">
      <c r="A70" s="2">
        <v>45986</v>
      </c>
      <c r="B70" s="1" t="s">
        <v>20</v>
      </c>
      <c r="C70" s="3">
        <v>232.08</v>
      </c>
      <c r="D70" s="1">
        <v>-21</v>
      </c>
      <c r="F70" s="5">
        <v>45797</v>
      </c>
      <c r="G70" s="4" t="s">
        <v>105</v>
      </c>
      <c r="H70" s="6">
        <v>2.94</v>
      </c>
      <c r="I70" s="18">
        <v>-2700</v>
      </c>
      <c r="J70" s="4"/>
      <c r="K70" s="5">
        <v>45731</v>
      </c>
      <c r="L70" s="1" t="s">
        <v>114</v>
      </c>
      <c r="M70" s="6">
        <v>341952.23</v>
      </c>
      <c r="N70" s="18">
        <v>5.8487000000000003E-4</v>
      </c>
      <c r="O70" s="4"/>
      <c r="P70" s="4"/>
      <c r="Q70" s="4"/>
    </row>
    <row r="71" spans="1:17" x14ac:dyDescent="0.2">
      <c r="A71" s="2">
        <v>45875</v>
      </c>
      <c r="B71" s="1" t="s">
        <v>25</v>
      </c>
      <c r="C71" s="3">
        <v>16.170000000000002</v>
      </c>
      <c r="D71" s="1">
        <v>106.43232</v>
      </c>
      <c r="F71" s="5">
        <v>45765</v>
      </c>
      <c r="G71" s="4" t="s">
        <v>14</v>
      </c>
      <c r="H71" s="6">
        <v>13.91</v>
      </c>
      <c r="I71" s="18">
        <v>413</v>
      </c>
      <c r="J71" s="4"/>
      <c r="K71" s="5">
        <v>45731</v>
      </c>
      <c r="L71" s="1" t="s">
        <v>114</v>
      </c>
      <c r="M71" s="6">
        <v>347031.02</v>
      </c>
      <c r="N71" s="18">
        <v>2.8814999999999998E-4</v>
      </c>
      <c r="O71" s="4"/>
      <c r="P71" s="4"/>
      <c r="Q71" s="4"/>
    </row>
    <row r="72" spans="1:17" x14ac:dyDescent="0.2">
      <c r="A72" s="2">
        <v>45857</v>
      </c>
      <c r="B72" s="1" t="s">
        <v>25</v>
      </c>
      <c r="C72" s="3">
        <v>18</v>
      </c>
      <c r="D72" s="1">
        <v>390.73271999999997</v>
      </c>
      <c r="F72" s="5">
        <v>45765</v>
      </c>
      <c r="G72" s="4" t="s">
        <v>103</v>
      </c>
      <c r="H72" s="6">
        <v>14.44</v>
      </c>
      <c r="I72" s="18">
        <v>280</v>
      </c>
      <c r="J72" s="4"/>
      <c r="K72" s="5">
        <v>45731</v>
      </c>
      <c r="L72" s="1" t="s">
        <v>114</v>
      </c>
      <c r="M72" s="6">
        <v>340245.81</v>
      </c>
      <c r="N72" s="18">
        <v>2.9390499999999999E-3</v>
      </c>
      <c r="O72" s="4"/>
      <c r="P72" s="4"/>
      <c r="Q72" s="4"/>
    </row>
    <row r="73" spans="1:17" x14ac:dyDescent="0.2">
      <c r="A73" s="2">
        <v>45797</v>
      </c>
      <c r="B73" s="1" t="s">
        <v>26</v>
      </c>
      <c r="C73" s="3">
        <v>183.64</v>
      </c>
      <c r="D73" s="1">
        <v>-37.213259999999998</v>
      </c>
      <c r="F73" s="5">
        <v>45765</v>
      </c>
      <c r="G73" s="4" t="s">
        <v>105</v>
      </c>
      <c r="H73" s="6">
        <v>2.98</v>
      </c>
      <c r="I73" s="18">
        <v>2700</v>
      </c>
      <c r="J73" s="4"/>
      <c r="K73" s="5">
        <v>45731</v>
      </c>
      <c r="L73" s="1" t="s">
        <v>114</v>
      </c>
      <c r="M73" s="6">
        <v>341037.4</v>
      </c>
      <c r="N73" s="18">
        <v>2.34578E-3</v>
      </c>
      <c r="O73" s="4"/>
      <c r="P73" s="4"/>
      <c r="Q73" s="4"/>
    </row>
    <row r="74" spans="1:17" x14ac:dyDescent="0.2">
      <c r="A74" s="2">
        <v>45679</v>
      </c>
      <c r="B74" s="1" t="s">
        <v>27</v>
      </c>
      <c r="C74" s="3">
        <v>96.74</v>
      </c>
      <c r="D74" s="1">
        <v>-8.2661300000000004</v>
      </c>
      <c r="F74" s="5">
        <v>45765</v>
      </c>
      <c r="G74" s="4" t="s">
        <v>106</v>
      </c>
      <c r="H74" s="6">
        <v>21.05</v>
      </c>
      <c r="I74" s="18">
        <v>-100</v>
      </c>
      <c r="J74" s="4"/>
      <c r="K74" s="5">
        <v>45730</v>
      </c>
      <c r="L74" s="1" t="s">
        <v>111</v>
      </c>
      <c r="M74" s="6">
        <v>19420.28</v>
      </c>
      <c r="N74" s="18">
        <v>2.5746270000000002E-2</v>
      </c>
      <c r="O74" s="4"/>
      <c r="P74" s="4"/>
      <c r="Q74" s="4"/>
    </row>
    <row r="75" spans="1:17" x14ac:dyDescent="0.2">
      <c r="A75" s="2">
        <v>45962</v>
      </c>
      <c r="B75" s="1" t="s">
        <v>20</v>
      </c>
      <c r="C75" s="3">
        <v>173.56</v>
      </c>
      <c r="D75" s="1">
        <v>4.2568999999999999</v>
      </c>
      <c r="F75" s="5">
        <v>45765</v>
      </c>
      <c r="G75" s="4" t="s">
        <v>106</v>
      </c>
      <c r="H75" s="6">
        <v>21.06</v>
      </c>
      <c r="I75" s="18">
        <v>-400</v>
      </c>
      <c r="J75" s="4"/>
      <c r="K75" s="5">
        <v>45730</v>
      </c>
      <c r="L75" s="1" t="s">
        <v>111</v>
      </c>
      <c r="M75" s="6">
        <v>19425.75</v>
      </c>
      <c r="N75" s="18">
        <v>1.029561E-2</v>
      </c>
      <c r="O75" s="4"/>
      <c r="P75" s="4"/>
      <c r="Q75" s="4"/>
    </row>
    <row r="76" spans="1:17" x14ac:dyDescent="0.2">
      <c r="A76" s="2">
        <v>45929</v>
      </c>
      <c r="B76" s="1" t="s">
        <v>26</v>
      </c>
      <c r="C76" s="3">
        <v>128.57</v>
      </c>
      <c r="D76" s="1">
        <v>15.090920000000001</v>
      </c>
      <c r="F76" s="5">
        <v>45763</v>
      </c>
      <c r="G76" s="4" t="s">
        <v>15</v>
      </c>
      <c r="H76" s="6">
        <v>6.3</v>
      </c>
      <c r="I76" s="18">
        <v>2100</v>
      </c>
      <c r="J76" s="4"/>
      <c r="K76" s="5">
        <v>45730</v>
      </c>
      <c r="L76" s="1" t="s">
        <v>111</v>
      </c>
      <c r="M76" s="6">
        <v>19678.8</v>
      </c>
      <c r="N76" s="18">
        <v>4.0652870000000001E-2</v>
      </c>
      <c r="O76" s="4"/>
      <c r="P76" s="4"/>
      <c r="Q76" s="4"/>
    </row>
    <row r="77" spans="1:17" x14ac:dyDescent="0.2">
      <c r="A77" s="2">
        <v>45925</v>
      </c>
      <c r="B77" s="1" t="s">
        <v>26</v>
      </c>
      <c r="C77" s="3">
        <v>130.19</v>
      </c>
      <c r="D77" s="1">
        <v>6.744E-2</v>
      </c>
      <c r="F77" s="5">
        <v>45763</v>
      </c>
      <c r="G77" s="4" t="s">
        <v>15</v>
      </c>
      <c r="H77" s="6">
        <v>6.41</v>
      </c>
      <c r="I77" s="18">
        <v>85</v>
      </c>
      <c r="J77" s="4"/>
      <c r="K77" s="5">
        <v>45730</v>
      </c>
      <c r="L77" s="1" t="s">
        <v>114</v>
      </c>
      <c r="M77" s="6">
        <v>354839.72</v>
      </c>
      <c r="N77" s="18">
        <v>1.4090800000000001E-3</v>
      </c>
      <c r="O77" s="4"/>
      <c r="P77" s="4"/>
      <c r="Q77" s="4"/>
    </row>
    <row r="78" spans="1:17" x14ac:dyDescent="0.2">
      <c r="A78" s="2">
        <v>45925</v>
      </c>
      <c r="B78" s="1" t="s">
        <v>26</v>
      </c>
      <c r="C78" s="3">
        <v>130.33000000000001</v>
      </c>
      <c r="D78" s="1">
        <v>7.6729399999999996</v>
      </c>
      <c r="F78" s="5">
        <v>45727</v>
      </c>
      <c r="G78" s="4" t="s">
        <v>107</v>
      </c>
      <c r="H78" s="6">
        <v>36.119999999999997</v>
      </c>
      <c r="I78" s="18">
        <v>-276</v>
      </c>
      <c r="J78" s="4"/>
      <c r="K78" s="5">
        <v>45730</v>
      </c>
      <c r="L78" s="1" t="s">
        <v>114</v>
      </c>
      <c r="M78" s="6">
        <v>356296.02</v>
      </c>
      <c r="N78" s="18">
        <v>1.40332E-3</v>
      </c>
      <c r="O78" s="4"/>
      <c r="P78" s="4"/>
      <c r="Q78" s="4"/>
    </row>
    <row r="79" spans="1:17" x14ac:dyDescent="0.2">
      <c r="A79" s="2">
        <v>45914</v>
      </c>
      <c r="B79" s="1" t="s">
        <v>20</v>
      </c>
      <c r="C79" s="3">
        <v>175.09</v>
      </c>
      <c r="D79" s="1">
        <v>3.5301100000000001</v>
      </c>
      <c r="F79" s="5">
        <v>45720</v>
      </c>
      <c r="G79" s="4" t="s">
        <v>103</v>
      </c>
      <c r="H79" s="6">
        <v>16.8</v>
      </c>
      <c r="I79" s="18">
        <v>100</v>
      </c>
      <c r="J79" s="4"/>
      <c r="K79" s="5">
        <v>45681</v>
      </c>
      <c r="L79" s="1" t="s">
        <v>111</v>
      </c>
      <c r="M79" s="6">
        <v>11086.19</v>
      </c>
      <c r="N79" s="18">
        <v>0.27060685000000001</v>
      </c>
      <c r="O79" s="4"/>
      <c r="P79" s="4"/>
      <c r="Q79" s="4"/>
    </row>
    <row r="80" spans="1:17" x14ac:dyDescent="0.2">
      <c r="A80" s="2">
        <v>45911</v>
      </c>
      <c r="B80" s="1" t="s">
        <v>20</v>
      </c>
      <c r="C80" s="3">
        <v>178.58</v>
      </c>
      <c r="D80" s="1">
        <v>1.69858</v>
      </c>
      <c r="F80" s="5">
        <v>45716</v>
      </c>
      <c r="G80" s="4" t="s">
        <v>103</v>
      </c>
      <c r="H80" s="6">
        <v>17.899999999999999</v>
      </c>
      <c r="I80" s="18">
        <v>200</v>
      </c>
      <c r="J80" s="4"/>
      <c r="K80" s="5">
        <v>45680</v>
      </c>
      <c r="L80" s="1" t="s">
        <v>114</v>
      </c>
      <c r="M80" s="6">
        <v>196714.1</v>
      </c>
      <c r="N80" s="18">
        <v>1.0167030000000001E-2</v>
      </c>
      <c r="O80" s="4"/>
      <c r="P80" s="4"/>
      <c r="Q80" s="4"/>
    </row>
    <row r="81" spans="1:17" x14ac:dyDescent="0.2">
      <c r="A81" s="2">
        <v>45161</v>
      </c>
      <c r="B81" s="1" t="s">
        <v>26</v>
      </c>
      <c r="C81" s="3">
        <v>133.75</v>
      </c>
      <c r="D81" s="1">
        <v>4.4705000000000004</v>
      </c>
      <c r="F81" s="5">
        <v>45703</v>
      </c>
      <c r="G81" s="4" t="s">
        <v>14</v>
      </c>
      <c r="H81" s="6">
        <v>13.45</v>
      </c>
      <c r="I81" s="18">
        <v>400</v>
      </c>
      <c r="J81" s="4"/>
      <c r="K81" s="5">
        <v>45675</v>
      </c>
      <c r="L81" s="1" t="s">
        <v>114</v>
      </c>
      <c r="M81" s="6">
        <v>206445.12</v>
      </c>
      <c r="N81" s="18">
        <v>8.1703940000000003E-2</v>
      </c>
      <c r="O81" s="4"/>
      <c r="P81" s="4"/>
      <c r="Q81" s="4"/>
    </row>
    <row r="82" spans="1:17" x14ac:dyDescent="0.2">
      <c r="A82" s="2">
        <v>45891</v>
      </c>
      <c r="B82" s="1" t="s">
        <v>26</v>
      </c>
      <c r="C82" s="3">
        <v>134.68</v>
      </c>
      <c r="D82" s="1">
        <v>2.8974700000000002</v>
      </c>
      <c r="F82" s="5">
        <v>45703</v>
      </c>
      <c r="G82" s="4" t="s">
        <v>12</v>
      </c>
      <c r="H82" s="6">
        <v>69.03</v>
      </c>
      <c r="I82" s="18">
        <v>28</v>
      </c>
      <c r="J82" s="4"/>
      <c r="K82" s="5">
        <v>45665</v>
      </c>
      <c r="L82" s="1" t="s">
        <v>114</v>
      </c>
      <c r="M82" s="6">
        <v>228178.49</v>
      </c>
      <c r="N82" s="18">
        <v>-0.1174253</v>
      </c>
      <c r="O82" s="4"/>
      <c r="P82" s="4"/>
      <c r="Q82" s="4"/>
    </row>
    <row r="83" spans="1:17" x14ac:dyDescent="0.2">
      <c r="A83" s="2">
        <v>45891</v>
      </c>
      <c r="B83" s="1" t="s">
        <v>26</v>
      </c>
      <c r="C83" s="3">
        <v>134.59</v>
      </c>
      <c r="D83" s="1">
        <v>7.0139899999999997</v>
      </c>
      <c r="F83" s="5">
        <v>45198</v>
      </c>
      <c r="G83" s="4" t="s">
        <v>104</v>
      </c>
      <c r="H83" s="6">
        <v>40.06</v>
      </c>
      <c r="I83" s="18">
        <v>-200</v>
      </c>
      <c r="J83" s="4"/>
      <c r="K83" s="5">
        <v>45660</v>
      </c>
      <c r="L83" s="1" t="s">
        <v>114</v>
      </c>
      <c r="M83" s="6">
        <v>212641.47</v>
      </c>
      <c r="N83" s="18">
        <v>1.6459629999999999E-2</v>
      </c>
      <c r="O83" s="4"/>
      <c r="P83" s="4"/>
      <c r="Q83" s="4"/>
    </row>
    <row r="84" spans="1:17" x14ac:dyDescent="0.2">
      <c r="A84" s="2">
        <v>45891</v>
      </c>
      <c r="B84" s="1" t="s">
        <v>27</v>
      </c>
      <c r="C84" s="3">
        <v>108.88</v>
      </c>
      <c r="D84" s="1">
        <v>8.2661300000000004</v>
      </c>
      <c r="F84" s="5">
        <v>45198</v>
      </c>
      <c r="G84" s="4" t="s">
        <v>13</v>
      </c>
      <c r="H84" s="6">
        <v>9.0299999999999994</v>
      </c>
      <c r="I84" s="18">
        <v>-1000</v>
      </c>
      <c r="J84" s="4"/>
      <c r="K84" s="5">
        <v>45660</v>
      </c>
      <c r="L84" s="1" t="s">
        <v>114</v>
      </c>
      <c r="M84" s="6">
        <v>213530.7</v>
      </c>
      <c r="N84" s="18">
        <v>1.4639579999999999E-2</v>
      </c>
      <c r="O84" s="4"/>
      <c r="P84" s="4"/>
      <c r="Q84" s="4"/>
    </row>
    <row r="85" spans="1:17" x14ac:dyDescent="0.2">
      <c r="A85" s="2">
        <v>45890</v>
      </c>
      <c r="B85" s="1" t="s">
        <v>27</v>
      </c>
      <c r="C85" s="3">
        <v>108.8</v>
      </c>
      <c r="D85" s="1">
        <v>-17.014060000000001</v>
      </c>
      <c r="F85" s="5">
        <v>45198</v>
      </c>
      <c r="G85" s="4" t="s">
        <v>10</v>
      </c>
      <c r="H85" s="6">
        <v>27.26</v>
      </c>
      <c r="I85" s="18">
        <v>400</v>
      </c>
      <c r="J85" s="4"/>
      <c r="K85" s="5">
        <v>46020</v>
      </c>
      <c r="L85" s="1" t="s">
        <v>114</v>
      </c>
      <c r="M85" s="6">
        <v>206955.71</v>
      </c>
      <c r="N85" s="18">
        <v>4.5217979999999998E-2</v>
      </c>
      <c r="O85" s="4"/>
      <c r="P85" s="4"/>
      <c r="Q85" s="4"/>
    </row>
    <row r="86" spans="1:17" x14ac:dyDescent="0.2">
      <c r="A86" s="2">
        <v>45884</v>
      </c>
      <c r="B86" s="1" t="s">
        <v>20</v>
      </c>
      <c r="C86" s="3">
        <v>177.86</v>
      </c>
      <c r="D86" s="1">
        <v>2.7831399999999999</v>
      </c>
      <c r="F86" s="5">
        <v>45198</v>
      </c>
      <c r="G86" s="4" t="s">
        <v>12</v>
      </c>
      <c r="H86" s="6">
        <v>58.06</v>
      </c>
      <c r="I86" s="18">
        <v>95</v>
      </c>
      <c r="J86" s="4"/>
      <c r="K86" s="5">
        <v>46017</v>
      </c>
      <c r="L86" s="1" t="s">
        <v>114</v>
      </c>
      <c r="M86" s="6">
        <v>204985.97</v>
      </c>
      <c r="N86" s="18">
        <v>1.7248349999999999E-2</v>
      </c>
      <c r="O86" s="4"/>
      <c r="P86" s="4"/>
      <c r="Q86" s="4"/>
    </row>
    <row r="87" spans="1:17" x14ac:dyDescent="0.2">
      <c r="A87" s="2">
        <v>45884</v>
      </c>
      <c r="B87" s="1" t="s">
        <v>27</v>
      </c>
      <c r="C87" s="3">
        <v>108.44</v>
      </c>
      <c r="D87" s="1">
        <v>17.014060000000001</v>
      </c>
      <c r="F87" s="5">
        <v>45927</v>
      </c>
      <c r="G87" s="4" t="s">
        <v>15</v>
      </c>
      <c r="H87" s="6">
        <v>9.9</v>
      </c>
      <c r="I87" s="18">
        <v>1000</v>
      </c>
      <c r="J87" s="4"/>
      <c r="K87" s="5">
        <v>46007</v>
      </c>
      <c r="L87" s="1" t="s">
        <v>114</v>
      </c>
      <c r="M87" s="6">
        <v>212425.14</v>
      </c>
      <c r="N87" s="18">
        <v>8.2381799999999995E-3</v>
      </c>
      <c r="O87" s="4"/>
      <c r="P87" s="4"/>
      <c r="Q87" s="4"/>
    </row>
    <row r="88" spans="1:17" x14ac:dyDescent="0.2">
      <c r="A88" s="2">
        <v>45884</v>
      </c>
      <c r="B88" s="1" t="s">
        <v>20</v>
      </c>
      <c r="C88" s="3">
        <v>178.11</v>
      </c>
      <c r="D88" s="1">
        <v>68.851439999999997</v>
      </c>
      <c r="F88" s="5">
        <v>45927</v>
      </c>
      <c r="G88" s="4" t="s">
        <v>15</v>
      </c>
      <c r="H88" s="6">
        <v>9.9</v>
      </c>
      <c r="I88" s="18">
        <v>-1000</v>
      </c>
      <c r="J88" s="4"/>
      <c r="K88" s="5">
        <v>46005</v>
      </c>
      <c r="L88" s="1" t="s">
        <v>114</v>
      </c>
      <c r="M88" s="6">
        <v>211596.26</v>
      </c>
      <c r="N88" s="18">
        <v>1.078615E-2</v>
      </c>
      <c r="O88" s="4"/>
      <c r="P88" s="4"/>
      <c r="Q88" s="4"/>
    </row>
    <row r="89" spans="1:17" x14ac:dyDescent="0.2">
      <c r="A89" s="2">
        <v>45794</v>
      </c>
      <c r="B89" s="1" t="s">
        <v>20</v>
      </c>
      <c r="C89" s="3">
        <v>172.74</v>
      </c>
      <c r="D89" s="1">
        <v>9</v>
      </c>
      <c r="F89" s="5">
        <v>45927</v>
      </c>
      <c r="G89" s="4" t="s">
        <v>15</v>
      </c>
      <c r="H89" s="6">
        <v>9.86</v>
      </c>
      <c r="I89" s="18">
        <v>-1000</v>
      </c>
      <c r="J89" s="4"/>
      <c r="K89" s="5">
        <v>46004</v>
      </c>
      <c r="L89" s="1" t="s">
        <v>114</v>
      </c>
      <c r="M89" s="6">
        <v>206806.69</v>
      </c>
      <c r="N89" s="18">
        <v>4.8354299999999999E-3</v>
      </c>
      <c r="O89" s="4"/>
      <c r="P89" s="4"/>
      <c r="Q89" s="4"/>
    </row>
    <row r="90" spans="1:17" x14ac:dyDescent="0.2">
      <c r="A90" s="2"/>
      <c r="B90" s="1"/>
      <c r="C90" s="3"/>
      <c r="D90" s="1"/>
      <c r="F90" s="5">
        <v>45892</v>
      </c>
      <c r="G90" s="4" t="s">
        <v>108</v>
      </c>
      <c r="H90" s="6">
        <v>18.350000000000001</v>
      </c>
      <c r="I90" s="18">
        <v>100</v>
      </c>
      <c r="J90" s="4"/>
      <c r="K90" s="5" t="s">
        <v>4</v>
      </c>
      <c r="L90" s="5" t="s">
        <v>4</v>
      </c>
      <c r="M90" s="5" t="s">
        <v>4</v>
      </c>
      <c r="N90" s="5" t="s">
        <v>4</v>
      </c>
      <c r="O90" s="4"/>
      <c r="P90" s="4"/>
      <c r="Q90" s="4"/>
    </row>
    <row r="91" spans="1:17" x14ac:dyDescent="0.2">
      <c r="A91" s="2"/>
      <c r="B91" s="1"/>
      <c r="C91" s="3"/>
      <c r="D91" s="1"/>
      <c r="F91" s="5">
        <v>45892</v>
      </c>
      <c r="G91" s="4" t="s">
        <v>12</v>
      </c>
      <c r="H91" s="6">
        <v>59.39</v>
      </c>
      <c r="I91" s="4">
        <v>26</v>
      </c>
      <c r="J91" s="4"/>
      <c r="K91" s="5"/>
      <c r="L91" s="1"/>
      <c r="M91" s="6"/>
      <c r="N91" s="18"/>
      <c r="O91" s="4"/>
      <c r="P91" s="4"/>
      <c r="Q91" s="4"/>
    </row>
    <row r="92" spans="1:17" x14ac:dyDescent="0.2">
      <c r="A92" s="2"/>
      <c r="B92" s="1"/>
      <c r="C92" s="3"/>
      <c r="D92" s="1"/>
      <c r="F92" s="5">
        <v>45890</v>
      </c>
      <c r="G92" s="4" t="s">
        <v>12</v>
      </c>
      <c r="H92" s="6">
        <v>59.65</v>
      </c>
      <c r="I92" s="4">
        <v>75</v>
      </c>
      <c r="J92" s="4"/>
      <c r="K92" s="5"/>
      <c r="L92" s="1"/>
      <c r="M92" s="6"/>
      <c r="N92" s="18"/>
      <c r="O92" s="4"/>
      <c r="P92" s="4"/>
      <c r="Q92" s="4"/>
    </row>
    <row r="93" spans="1:17" x14ac:dyDescent="0.2">
      <c r="A93" s="2"/>
      <c r="B93" s="1"/>
      <c r="C93" s="3"/>
      <c r="D93" s="1"/>
      <c r="F93" s="5">
        <v>45890</v>
      </c>
      <c r="G93" s="4" t="s">
        <v>106</v>
      </c>
      <c r="H93" s="6">
        <v>22.07</v>
      </c>
      <c r="I93" s="4">
        <v>-200</v>
      </c>
      <c r="J93" s="4"/>
      <c r="K93" s="5"/>
      <c r="L93" s="1"/>
      <c r="M93" s="6"/>
      <c r="N93" s="18"/>
      <c r="O93" s="4"/>
      <c r="P93" s="4"/>
      <c r="Q93" s="4"/>
    </row>
    <row r="94" spans="1:17" x14ac:dyDescent="0.2">
      <c r="A94" s="2"/>
      <c r="B94" s="1"/>
      <c r="C94" s="3"/>
      <c r="D94" s="1"/>
      <c r="F94" s="5">
        <v>45890</v>
      </c>
      <c r="G94" s="4" t="s">
        <v>108</v>
      </c>
      <c r="H94" s="6">
        <v>18.7</v>
      </c>
      <c r="I94" s="4">
        <v>-500</v>
      </c>
      <c r="J94" s="4"/>
      <c r="K94" s="5"/>
      <c r="L94" s="1"/>
      <c r="M94" s="6"/>
      <c r="N94" s="18"/>
      <c r="O94" s="4"/>
      <c r="P94" s="4"/>
      <c r="Q94" s="4"/>
    </row>
    <row r="95" spans="1:17" x14ac:dyDescent="0.2">
      <c r="A95" s="2"/>
      <c r="B95" s="1"/>
      <c r="C95" s="3"/>
      <c r="D95" s="1"/>
      <c r="F95" s="5">
        <v>45890</v>
      </c>
      <c r="G95" s="4" t="s">
        <v>18</v>
      </c>
      <c r="H95" s="6">
        <v>24.79</v>
      </c>
      <c r="I95" s="4">
        <v>300</v>
      </c>
      <c r="J95" s="4"/>
      <c r="K95" s="5"/>
      <c r="L95" s="1"/>
      <c r="M95" s="6"/>
      <c r="N95" s="18"/>
      <c r="O95" s="4"/>
      <c r="P95" s="4"/>
      <c r="Q95" s="4"/>
    </row>
    <row r="96" spans="1:17" x14ac:dyDescent="0.2">
      <c r="A96" s="2"/>
      <c r="B96" s="1"/>
      <c r="C96" s="3"/>
      <c r="D96" s="1"/>
      <c r="F96" s="5">
        <v>45153</v>
      </c>
      <c r="G96" s="5" t="s">
        <v>104</v>
      </c>
      <c r="H96" s="6">
        <v>39.520000000000003</v>
      </c>
      <c r="I96" s="4">
        <v>500</v>
      </c>
      <c r="J96" s="4"/>
      <c r="K96" s="5"/>
      <c r="L96" s="1"/>
      <c r="M96" s="6"/>
      <c r="N96" s="18"/>
      <c r="O96" s="4"/>
      <c r="P96" s="4"/>
      <c r="Q96" s="4"/>
    </row>
    <row r="97" spans="1:17" x14ac:dyDescent="0.2">
      <c r="A97" s="2"/>
      <c r="B97" s="1"/>
      <c r="C97" s="3"/>
      <c r="D97" s="1"/>
      <c r="F97" s="5">
        <v>45153</v>
      </c>
      <c r="G97" s="4" t="s">
        <v>13</v>
      </c>
      <c r="H97" s="6">
        <v>9.51</v>
      </c>
      <c r="I97" s="4">
        <v>1900</v>
      </c>
      <c r="J97" s="4"/>
      <c r="K97" s="5"/>
      <c r="L97" s="1"/>
      <c r="M97" s="6"/>
      <c r="N97" s="18"/>
      <c r="O97" s="18"/>
      <c r="P97" s="4"/>
      <c r="Q97" s="4"/>
    </row>
    <row r="98" spans="1:17" x14ac:dyDescent="0.2">
      <c r="A98" s="2"/>
      <c r="B98" s="1"/>
      <c r="C98" s="3"/>
      <c r="D98" s="1"/>
      <c r="F98" s="5">
        <v>45153</v>
      </c>
      <c r="G98" s="4" t="s">
        <v>108</v>
      </c>
      <c r="H98" s="6">
        <v>19.59</v>
      </c>
      <c r="I98" s="4">
        <v>400</v>
      </c>
      <c r="J98" s="4"/>
      <c r="K98" s="5"/>
      <c r="L98" s="1"/>
      <c r="M98" s="6"/>
      <c r="N98" s="18"/>
      <c r="O98" s="4"/>
      <c r="P98" s="4"/>
      <c r="Q98" s="4"/>
    </row>
    <row r="99" spans="1:17" x14ac:dyDescent="0.2">
      <c r="A99" s="2"/>
      <c r="B99" s="1"/>
      <c r="C99" s="3"/>
      <c r="D99" s="1"/>
      <c r="F99" s="5">
        <v>45153</v>
      </c>
      <c r="G99" s="4" t="s">
        <v>15</v>
      </c>
      <c r="H99" s="6">
        <v>12.91</v>
      </c>
      <c r="I99" s="4">
        <v>1000</v>
      </c>
      <c r="J99" s="4"/>
      <c r="K99" s="5"/>
      <c r="L99" s="1"/>
      <c r="M99" s="6"/>
      <c r="N99" s="18"/>
      <c r="O99" s="4"/>
      <c r="P99" s="4"/>
      <c r="Q99" s="4"/>
    </row>
    <row r="100" spans="1:17" x14ac:dyDescent="0.2">
      <c r="A100" s="2"/>
      <c r="B100" s="1"/>
      <c r="C100" s="3"/>
      <c r="D100" s="1"/>
      <c r="F100" s="5">
        <v>45153</v>
      </c>
      <c r="G100" s="4" t="s">
        <v>107</v>
      </c>
      <c r="H100" s="6">
        <v>31.52</v>
      </c>
      <c r="I100" s="4">
        <v>200</v>
      </c>
      <c r="J100" s="4"/>
      <c r="K100" s="5"/>
      <c r="L100" s="1"/>
      <c r="M100" s="6"/>
      <c r="N100" s="18"/>
      <c r="O100" s="4"/>
      <c r="P100" s="4"/>
      <c r="Q100" s="4"/>
    </row>
    <row r="101" spans="1:17" x14ac:dyDescent="0.2">
      <c r="A101" s="2"/>
      <c r="B101" s="1"/>
      <c r="C101" s="3"/>
      <c r="D101" s="1"/>
      <c r="F101" s="5">
        <v>45153</v>
      </c>
      <c r="G101" s="4" t="s">
        <v>106</v>
      </c>
      <c r="H101" s="6">
        <v>22.99</v>
      </c>
      <c r="I101" s="4">
        <v>700</v>
      </c>
      <c r="J101" s="4"/>
      <c r="K101" s="5"/>
      <c r="L101" s="1"/>
      <c r="M101" s="6"/>
      <c r="N101" s="18"/>
      <c r="O101" s="4"/>
      <c r="P101" s="4"/>
      <c r="Q101" s="4"/>
    </row>
    <row r="102" spans="1:17" x14ac:dyDescent="0.2">
      <c r="A102" s="2"/>
      <c r="B102" s="1"/>
      <c r="C102" s="3"/>
      <c r="D102" s="1"/>
      <c r="F102" s="5">
        <v>45061</v>
      </c>
      <c r="G102" s="4" t="s">
        <v>107</v>
      </c>
      <c r="H102" s="6">
        <v>25.88</v>
      </c>
      <c r="I102" s="4">
        <v>76</v>
      </c>
      <c r="J102" s="4"/>
      <c r="K102" s="5"/>
      <c r="L102" s="1"/>
      <c r="M102" s="6"/>
      <c r="N102" s="18"/>
      <c r="O102" s="4"/>
      <c r="P102" s="4"/>
      <c r="Q102" s="4"/>
    </row>
    <row r="103" spans="1:17" x14ac:dyDescent="0.2">
      <c r="A103" s="2"/>
      <c r="B103" s="1"/>
      <c r="C103" s="3"/>
      <c r="D103" s="1"/>
      <c r="F103" s="19" t="s">
        <v>4</v>
      </c>
      <c r="G103" s="19" t="s">
        <v>4</v>
      </c>
      <c r="H103" s="19" t="s">
        <v>4</v>
      </c>
      <c r="I103" s="19" t="s">
        <v>4</v>
      </c>
      <c r="J103" s="4"/>
      <c r="K103" s="5"/>
      <c r="L103" s="1"/>
      <c r="M103" s="6"/>
      <c r="N103" s="18"/>
      <c r="O103" s="4"/>
      <c r="P103" s="4"/>
      <c r="Q103" s="4"/>
    </row>
    <row r="104" spans="1:17" x14ac:dyDescent="0.2">
      <c r="A104" s="2"/>
      <c r="B104" s="1"/>
      <c r="C104" s="3"/>
      <c r="D104" s="1"/>
      <c r="F104" s="5"/>
      <c r="G104" s="4"/>
      <c r="H104" s="6"/>
      <c r="I104" s="4"/>
      <c r="J104" s="4"/>
      <c r="K104" s="5"/>
      <c r="L104" s="1"/>
      <c r="M104" s="6"/>
      <c r="N104" s="18"/>
      <c r="O104" s="4"/>
      <c r="P104" s="4"/>
      <c r="Q104" s="4"/>
    </row>
    <row r="105" spans="1:17" x14ac:dyDescent="0.2">
      <c r="A105" s="2"/>
      <c r="B105" s="1"/>
      <c r="C105" s="3"/>
      <c r="D105" s="1"/>
      <c r="F105" s="19"/>
      <c r="G105" s="19"/>
      <c r="H105" s="19"/>
      <c r="I105" s="19"/>
      <c r="J105" s="4"/>
      <c r="K105" s="5"/>
      <c r="L105" s="1"/>
      <c r="M105" s="6"/>
      <c r="N105" s="18"/>
      <c r="O105" s="4"/>
      <c r="P105" s="4"/>
      <c r="Q105" s="4"/>
    </row>
    <row r="106" spans="1:17" x14ac:dyDescent="0.2">
      <c r="A106" s="2"/>
      <c r="B106" s="1"/>
      <c r="C106" s="3"/>
      <c r="D106" s="1"/>
      <c r="F106" s="5"/>
      <c r="G106" s="4"/>
      <c r="H106" s="6"/>
      <c r="I106" s="4"/>
      <c r="J106" s="4"/>
      <c r="K106" s="5"/>
      <c r="L106" s="1"/>
      <c r="M106" s="6"/>
      <c r="N106" s="18"/>
      <c r="O106" s="4"/>
      <c r="P106" s="4"/>
      <c r="Q106" s="4"/>
    </row>
    <row r="107" spans="1:17" x14ac:dyDescent="0.2">
      <c r="A107" s="2"/>
      <c r="B107" s="1"/>
      <c r="D107" s="1"/>
      <c r="F107" s="5"/>
      <c r="G107" s="4"/>
      <c r="H107" s="6"/>
      <c r="I107" s="4"/>
      <c r="J107" s="4"/>
      <c r="K107" s="5"/>
      <c r="L107" s="1"/>
      <c r="M107" s="6"/>
      <c r="N107" s="18"/>
      <c r="O107" s="4"/>
      <c r="P107" s="4"/>
      <c r="Q107" s="4"/>
    </row>
    <row r="108" spans="1:17" x14ac:dyDescent="0.2">
      <c r="A108" s="2"/>
      <c r="B108" s="1"/>
      <c r="C108" s="3"/>
      <c r="D108" s="1"/>
      <c r="F108" s="5"/>
      <c r="G108" s="4"/>
      <c r="H108" s="6"/>
      <c r="I108" s="4"/>
      <c r="J108" s="4"/>
      <c r="K108" s="5"/>
      <c r="L108" s="1"/>
      <c r="M108" s="6"/>
      <c r="N108" s="18"/>
      <c r="O108" s="4"/>
      <c r="P108" s="4"/>
      <c r="Q108" s="4"/>
    </row>
    <row r="109" spans="1:17" x14ac:dyDescent="0.2">
      <c r="B109" s="1"/>
      <c r="C109" s="3"/>
      <c r="F109" s="5"/>
      <c r="G109" s="4"/>
      <c r="H109" s="6"/>
      <c r="I109" s="4"/>
      <c r="J109" s="4"/>
      <c r="K109" s="5"/>
      <c r="L109" s="1"/>
      <c r="M109" s="6"/>
      <c r="N109" s="18"/>
      <c r="O109" s="4"/>
      <c r="P109" s="4"/>
      <c r="Q109" s="4"/>
    </row>
    <row r="110" spans="1:17" x14ac:dyDescent="0.2">
      <c r="B110" s="1"/>
      <c r="C110" s="3"/>
      <c r="F110" s="5"/>
      <c r="G110" s="5"/>
      <c r="H110" s="6"/>
      <c r="I110" s="4"/>
      <c r="J110" s="4"/>
      <c r="K110" s="5"/>
      <c r="L110" s="1"/>
      <c r="M110" s="6"/>
      <c r="N110" s="18"/>
      <c r="O110" s="4"/>
      <c r="P110" s="4"/>
      <c r="Q110" s="4"/>
    </row>
    <row r="111" spans="1:17" x14ac:dyDescent="0.2">
      <c r="B111" s="1"/>
      <c r="C111" s="3"/>
      <c r="F111" s="5"/>
      <c r="G111" s="4"/>
      <c r="H111" s="6"/>
      <c r="I111" s="4"/>
      <c r="J111" s="4"/>
      <c r="K111" s="5"/>
      <c r="L111" s="1"/>
      <c r="M111" s="6"/>
      <c r="N111" s="18"/>
      <c r="O111" s="4"/>
      <c r="P111" s="4"/>
      <c r="Q111" s="4"/>
    </row>
    <row r="112" spans="1:17" x14ac:dyDescent="0.2">
      <c r="B112" s="1"/>
      <c r="C112" s="3"/>
      <c r="F112" s="5"/>
      <c r="G112" s="4"/>
      <c r="H112" s="6"/>
      <c r="I112" s="4"/>
      <c r="J112" s="4"/>
      <c r="K112" s="5"/>
      <c r="L112" s="4"/>
      <c r="M112" s="6"/>
      <c r="N112" s="18"/>
      <c r="O112" s="4"/>
      <c r="P112" s="4"/>
      <c r="Q112" s="4"/>
    </row>
    <row r="113" spans="2:17" x14ac:dyDescent="0.2">
      <c r="B113" s="1"/>
      <c r="C113" s="3"/>
      <c r="F113" s="5"/>
      <c r="G113" s="4"/>
      <c r="H113" s="6"/>
      <c r="I113" s="4"/>
      <c r="J113" s="4"/>
      <c r="K113" s="5"/>
      <c r="L113" s="4"/>
      <c r="M113" s="6"/>
      <c r="N113" s="18"/>
      <c r="O113" s="4"/>
      <c r="P113" s="4"/>
      <c r="Q113" s="4"/>
    </row>
    <row r="114" spans="2:17" x14ac:dyDescent="0.2">
      <c r="B114" s="1"/>
      <c r="F114" s="5"/>
      <c r="G114" s="4"/>
      <c r="H114" s="6"/>
      <c r="I114" s="4"/>
      <c r="J114" s="4"/>
      <c r="K114" s="5"/>
      <c r="L114" s="4"/>
      <c r="M114" s="6"/>
      <c r="N114" s="18"/>
      <c r="O114" s="4"/>
      <c r="P114" s="4"/>
      <c r="Q114" s="4"/>
    </row>
    <row r="115" spans="2:17" x14ac:dyDescent="0.2">
      <c r="B115" s="1"/>
      <c r="C115" s="3"/>
      <c r="F115" s="5"/>
      <c r="G115" s="4"/>
      <c r="H115" s="6"/>
      <c r="I115" s="4"/>
      <c r="J115" s="4"/>
      <c r="K115" s="5"/>
      <c r="L115" s="4"/>
      <c r="M115" s="6"/>
      <c r="N115" s="18"/>
      <c r="O115" s="4"/>
      <c r="P115" s="4"/>
      <c r="Q115" s="4"/>
    </row>
    <row r="116" spans="2:17" x14ac:dyDescent="0.2">
      <c r="B116" s="1"/>
      <c r="C116" s="3"/>
      <c r="F116" s="5"/>
      <c r="G116" s="4"/>
      <c r="H116" s="6"/>
      <c r="I116" s="4"/>
      <c r="J116" s="4"/>
      <c r="K116" s="5"/>
      <c r="L116" s="4"/>
      <c r="M116" s="6"/>
      <c r="N116" s="18"/>
      <c r="O116" s="4"/>
      <c r="P116" s="4"/>
      <c r="Q116" s="4"/>
    </row>
    <row r="117" spans="2:17" x14ac:dyDescent="0.2">
      <c r="B117" s="1"/>
      <c r="C117" s="3"/>
      <c r="F117" s="19"/>
      <c r="G117" s="19"/>
      <c r="H117" s="19"/>
      <c r="I117" s="19"/>
      <c r="J117" s="4"/>
      <c r="K117" s="5"/>
      <c r="L117" s="4"/>
      <c r="M117" s="6"/>
      <c r="N117" s="18"/>
      <c r="O117" s="4"/>
      <c r="P117" s="4"/>
      <c r="Q117" s="4"/>
    </row>
    <row r="118" spans="2:17" x14ac:dyDescent="0.2">
      <c r="B118" s="1"/>
      <c r="C118" s="3"/>
      <c r="F118" s="5"/>
      <c r="G118" s="4"/>
      <c r="H118" s="6"/>
      <c r="I118" s="18"/>
      <c r="J118" s="4"/>
      <c r="K118" s="5"/>
      <c r="L118" s="4"/>
      <c r="M118" s="6"/>
      <c r="N118" s="18"/>
      <c r="O118" s="4"/>
      <c r="P118" s="4"/>
      <c r="Q118" s="4"/>
    </row>
    <row r="119" spans="2:17" x14ac:dyDescent="0.2">
      <c r="B119" s="1"/>
      <c r="C119" s="3"/>
      <c r="F119" s="5"/>
      <c r="G119" s="4"/>
      <c r="H119" s="6"/>
      <c r="I119" s="18"/>
      <c r="J119" s="4"/>
      <c r="K119" s="5"/>
      <c r="L119" s="4"/>
      <c r="M119" s="6"/>
      <c r="N119" s="18"/>
      <c r="O119" s="4"/>
      <c r="P119" s="4"/>
      <c r="Q119" s="4"/>
    </row>
    <row r="120" spans="2:17" x14ac:dyDescent="0.2">
      <c r="B120" s="1"/>
      <c r="C120" s="3"/>
      <c r="F120" s="5"/>
      <c r="G120" s="4"/>
      <c r="H120" s="6"/>
      <c r="I120" s="18"/>
      <c r="J120" s="4"/>
      <c r="K120" s="5"/>
      <c r="L120" s="4"/>
      <c r="M120" s="6"/>
      <c r="N120" s="18"/>
      <c r="O120" s="4"/>
      <c r="P120" s="4"/>
      <c r="Q120" s="4"/>
    </row>
    <row r="121" spans="2:17" x14ac:dyDescent="0.2">
      <c r="B121" s="1"/>
      <c r="C121" s="3"/>
      <c r="F121" s="5"/>
      <c r="G121" s="4"/>
      <c r="H121" s="6"/>
      <c r="I121" s="18"/>
      <c r="J121" s="4"/>
      <c r="K121" s="5"/>
      <c r="L121" s="4"/>
      <c r="M121" s="6"/>
      <c r="N121" s="18"/>
      <c r="O121" s="4"/>
      <c r="P121" s="4"/>
      <c r="Q121" s="4"/>
    </row>
    <row r="122" spans="2:17" x14ac:dyDescent="0.2">
      <c r="B122" s="1"/>
      <c r="C122" s="3"/>
      <c r="F122" s="5"/>
      <c r="G122" s="4"/>
      <c r="H122" s="6"/>
      <c r="I122" s="4"/>
      <c r="J122" s="4"/>
      <c r="K122" s="5"/>
      <c r="L122" s="4"/>
      <c r="M122" s="6"/>
      <c r="N122" s="18"/>
      <c r="O122" s="4"/>
      <c r="P122" s="4"/>
      <c r="Q122" s="4"/>
    </row>
    <row r="123" spans="2:17" x14ac:dyDescent="0.2">
      <c r="B123" s="1"/>
      <c r="C123" s="3"/>
      <c r="F123" s="5"/>
      <c r="G123" s="4"/>
      <c r="H123" s="6"/>
      <c r="I123" s="4"/>
      <c r="J123" s="4"/>
      <c r="K123" s="5"/>
      <c r="L123" s="4"/>
      <c r="M123" s="6"/>
      <c r="N123" s="18"/>
      <c r="O123" s="4"/>
      <c r="P123" s="4"/>
      <c r="Q123" s="4"/>
    </row>
    <row r="124" spans="2:17" x14ac:dyDescent="0.2">
      <c r="B124" s="1"/>
      <c r="C124" s="3"/>
      <c r="F124" s="5"/>
      <c r="G124" s="4"/>
      <c r="H124" s="6"/>
      <c r="I124" s="4"/>
      <c r="J124" s="4"/>
      <c r="K124" s="5"/>
      <c r="L124" s="4"/>
      <c r="M124" s="6"/>
      <c r="N124" s="18"/>
      <c r="O124" s="4"/>
      <c r="P124" s="4"/>
      <c r="Q124" s="4"/>
    </row>
    <row r="125" spans="2:17" x14ac:dyDescent="0.2">
      <c r="B125" s="1"/>
      <c r="C125" s="3"/>
      <c r="F125" s="5"/>
      <c r="G125" s="4"/>
      <c r="H125" s="6"/>
      <c r="I125" s="4"/>
      <c r="J125" s="4"/>
      <c r="K125" s="5"/>
      <c r="L125" s="4"/>
      <c r="M125" s="6"/>
      <c r="N125" s="18"/>
      <c r="O125" s="4"/>
      <c r="P125" s="4"/>
      <c r="Q125" s="4"/>
    </row>
    <row r="126" spans="2:17" x14ac:dyDescent="0.2">
      <c r="B126" s="1"/>
      <c r="C126" s="3"/>
      <c r="F126" s="5"/>
      <c r="G126" s="4"/>
      <c r="H126" s="6"/>
      <c r="I126" s="4"/>
      <c r="J126" s="4"/>
      <c r="K126" s="5"/>
      <c r="L126" s="4"/>
      <c r="M126" s="6"/>
      <c r="N126" s="18"/>
      <c r="O126" s="4"/>
      <c r="P126" s="4"/>
      <c r="Q126" s="4"/>
    </row>
    <row r="127" spans="2:17" x14ac:dyDescent="0.2">
      <c r="B127" s="1"/>
      <c r="C127" s="3"/>
      <c r="F127" s="5"/>
      <c r="G127" s="5"/>
      <c r="H127" s="6"/>
      <c r="I127" s="4"/>
      <c r="J127" s="4"/>
      <c r="K127" s="5"/>
      <c r="L127" s="4"/>
      <c r="M127" s="6"/>
      <c r="N127" s="18"/>
      <c r="O127" s="4"/>
      <c r="P127" s="4"/>
      <c r="Q127" s="4"/>
    </row>
    <row r="128" spans="2:17" x14ac:dyDescent="0.2">
      <c r="B128" s="1"/>
      <c r="C128" s="3"/>
      <c r="F128" s="5"/>
      <c r="G128" s="4"/>
      <c r="H128" s="6"/>
      <c r="I128" s="4"/>
      <c r="J128" s="4"/>
      <c r="K128" s="5"/>
      <c r="L128" s="4"/>
      <c r="M128" s="6"/>
      <c r="N128" s="18"/>
      <c r="O128" s="4"/>
      <c r="P128" s="4"/>
      <c r="Q128" s="4"/>
    </row>
    <row r="129" spans="2:17" x14ac:dyDescent="0.2">
      <c r="B129" s="1"/>
      <c r="C129" s="3"/>
      <c r="F129" s="5"/>
      <c r="G129" s="4"/>
      <c r="H129" s="6"/>
      <c r="I129" s="4"/>
      <c r="J129" s="4"/>
      <c r="K129" s="5"/>
      <c r="L129" s="4"/>
      <c r="M129" s="6"/>
      <c r="N129" s="4"/>
      <c r="O129" s="4"/>
      <c r="P129" s="4"/>
      <c r="Q129" s="4"/>
    </row>
    <row r="130" spans="2:17" x14ac:dyDescent="0.2">
      <c r="B130" s="1"/>
      <c r="C130" s="3"/>
      <c r="F130" s="5"/>
      <c r="G130" s="4"/>
      <c r="H130" s="6"/>
      <c r="I130" s="4"/>
      <c r="J130" s="4"/>
      <c r="K130" s="5"/>
      <c r="L130" s="4"/>
      <c r="M130" s="6"/>
      <c r="N130" s="4"/>
      <c r="O130" s="4"/>
      <c r="P130" s="4"/>
      <c r="Q130" s="4"/>
    </row>
    <row r="131" spans="2:17" x14ac:dyDescent="0.2">
      <c r="B131" s="1"/>
      <c r="C131" s="3"/>
      <c r="F131" s="5"/>
      <c r="G131" s="4"/>
      <c r="H131" s="6"/>
      <c r="I131" s="4"/>
      <c r="J131" s="4"/>
      <c r="K131" s="5"/>
      <c r="L131" s="4"/>
      <c r="M131" s="6"/>
      <c r="N131" s="4"/>
      <c r="O131" s="4"/>
      <c r="P131" s="4"/>
      <c r="Q131" s="4"/>
    </row>
    <row r="132" spans="2:17" x14ac:dyDescent="0.2">
      <c r="B132" s="1"/>
      <c r="C132" s="3"/>
      <c r="F132" s="5"/>
      <c r="G132" s="4"/>
      <c r="H132" s="6"/>
      <c r="I132" s="4"/>
      <c r="J132" s="4"/>
      <c r="K132" s="5"/>
      <c r="L132" s="4"/>
      <c r="M132" s="6"/>
      <c r="N132" s="4"/>
      <c r="O132" s="4"/>
      <c r="P132" s="4"/>
      <c r="Q132" s="4"/>
    </row>
    <row r="133" spans="2:17" x14ac:dyDescent="0.2">
      <c r="B133" s="1"/>
      <c r="C133" s="3"/>
      <c r="F133" s="5"/>
      <c r="G133" s="4"/>
      <c r="H133" s="6"/>
      <c r="I133" s="4"/>
      <c r="J133" s="4"/>
      <c r="K133" s="5"/>
      <c r="L133" s="4"/>
      <c r="M133" s="6"/>
      <c r="N133" s="4"/>
      <c r="O133" s="4"/>
      <c r="P133" s="4"/>
      <c r="Q133" s="4"/>
    </row>
    <row r="134" spans="2:17" x14ac:dyDescent="0.2">
      <c r="B134" s="1"/>
      <c r="C134" s="3"/>
      <c r="F134" s="19"/>
      <c r="G134" s="19"/>
      <c r="H134" s="19"/>
      <c r="I134" s="19"/>
      <c r="J134" s="4"/>
      <c r="K134" s="5"/>
      <c r="L134" s="4"/>
      <c r="M134" s="6"/>
      <c r="N134" s="4"/>
      <c r="O134" s="4"/>
      <c r="P134" s="4"/>
      <c r="Q134" s="4"/>
    </row>
    <row r="135" spans="2:17" x14ac:dyDescent="0.2">
      <c r="B135" s="1"/>
      <c r="C135" s="3"/>
      <c r="F135" s="5"/>
      <c r="G135" s="4"/>
      <c r="H135" s="6"/>
      <c r="I135" s="18"/>
      <c r="J135" s="4"/>
      <c r="K135" s="5"/>
      <c r="L135" s="4"/>
      <c r="M135" s="6"/>
      <c r="N135" s="4"/>
      <c r="O135" s="4"/>
      <c r="P135" s="4"/>
      <c r="Q135" s="4"/>
    </row>
    <row r="136" spans="2:17" x14ac:dyDescent="0.2">
      <c r="B136" s="1"/>
      <c r="C136" s="3"/>
      <c r="F136" s="5"/>
      <c r="G136" s="4"/>
      <c r="H136" s="6"/>
      <c r="I136" s="18"/>
      <c r="J136" s="4"/>
      <c r="K136" s="5"/>
      <c r="L136" s="4"/>
      <c r="M136" s="6"/>
      <c r="N136" s="4"/>
      <c r="O136" s="4"/>
      <c r="P136" s="4"/>
      <c r="Q136" s="4"/>
    </row>
    <row r="137" spans="2:17" x14ac:dyDescent="0.2">
      <c r="B137" s="1"/>
      <c r="C137" s="3"/>
      <c r="F137" s="5"/>
      <c r="G137" s="4"/>
      <c r="H137" s="6"/>
      <c r="I137" s="4"/>
      <c r="J137" s="4"/>
      <c r="K137" s="5"/>
      <c r="L137" s="4"/>
      <c r="M137" s="6"/>
      <c r="N137" s="4"/>
      <c r="O137" s="4"/>
      <c r="P137" s="4"/>
      <c r="Q137" s="4"/>
    </row>
    <row r="138" spans="2:17" x14ac:dyDescent="0.2">
      <c r="B138" s="1"/>
      <c r="C138" s="3"/>
      <c r="F138" s="5"/>
      <c r="G138" s="4"/>
      <c r="H138" s="6"/>
      <c r="I138" s="4"/>
      <c r="J138" s="4"/>
      <c r="K138" s="5"/>
      <c r="L138" s="4"/>
      <c r="M138" s="6"/>
      <c r="N138" s="4"/>
      <c r="O138" s="4"/>
      <c r="P138" s="4"/>
      <c r="Q138" s="4"/>
    </row>
    <row r="139" spans="2:17" x14ac:dyDescent="0.2">
      <c r="B139" s="1"/>
      <c r="C139" s="3"/>
      <c r="F139" s="5"/>
      <c r="G139" s="4"/>
      <c r="H139" s="6"/>
      <c r="I139" s="4"/>
      <c r="J139" s="4"/>
      <c r="K139" s="5"/>
      <c r="L139" s="4"/>
      <c r="M139" s="6"/>
      <c r="N139" s="4"/>
      <c r="O139" s="4"/>
      <c r="P139" s="4"/>
      <c r="Q139" s="4"/>
    </row>
    <row r="140" spans="2:17" x14ac:dyDescent="0.2">
      <c r="B140" s="1"/>
      <c r="C140" s="3"/>
      <c r="F140" s="5"/>
      <c r="G140" s="4"/>
      <c r="H140" s="6"/>
      <c r="I140" s="4"/>
      <c r="J140" s="4"/>
      <c r="K140" s="5"/>
      <c r="L140" s="4"/>
      <c r="M140" s="6"/>
      <c r="N140" s="4"/>
      <c r="O140" s="4"/>
      <c r="P140" s="4"/>
      <c r="Q140" s="4"/>
    </row>
    <row r="141" spans="2:17" x14ac:dyDescent="0.2">
      <c r="B141" s="1"/>
      <c r="C141" s="3"/>
      <c r="F141" s="5"/>
      <c r="G141" s="4"/>
      <c r="H141" s="6"/>
      <c r="I141" s="4"/>
      <c r="J141" s="4"/>
      <c r="K141" s="5"/>
      <c r="L141" s="4"/>
      <c r="M141" s="6"/>
      <c r="N141" s="4"/>
      <c r="O141" s="4"/>
      <c r="P141" s="4"/>
      <c r="Q141" s="4"/>
    </row>
    <row r="142" spans="2:17" x14ac:dyDescent="0.2">
      <c r="B142" s="1"/>
      <c r="C142" s="3"/>
      <c r="F142" s="5"/>
      <c r="G142" s="5"/>
      <c r="H142" s="6"/>
      <c r="I142" s="4"/>
      <c r="J142" s="4"/>
      <c r="K142" s="5"/>
      <c r="L142" s="4"/>
      <c r="M142" s="6"/>
      <c r="N142" s="4"/>
      <c r="O142" s="4"/>
      <c r="P142" s="4"/>
      <c r="Q142" s="4"/>
    </row>
    <row r="143" spans="2:17" x14ac:dyDescent="0.2">
      <c r="B143" s="1"/>
      <c r="C143" s="3"/>
      <c r="F143" s="5"/>
      <c r="G143" s="4"/>
      <c r="H143" s="6"/>
      <c r="I143" s="4"/>
      <c r="J143" s="4"/>
      <c r="K143" s="5"/>
      <c r="L143" s="4"/>
      <c r="M143" s="6"/>
      <c r="N143" s="4"/>
      <c r="O143" s="4"/>
      <c r="P143" s="4"/>
      <c r="Q143" s="4"/>
    </row>
    <row r="144" spans="2:17" x14ac:dyDescent="0.2">
      <c r="B144" s="1"/>
      <c r="C144" s="3"/>
      <c r="F144" s="5"/>
      <c r="G144" s="4"/>
      <c r="H144" s="6"/>
      <c r="I144" s="4"/>
      <c r="J144" s="4"/>
      <c r="K144" s="5"/>
      <c r="L144" s="4"/>
      <c r="M144" s="6"/>
      <c r="N144" s="4"/>
      <c r="O144" s="4"/>
      <c r="P144" s="4"/>
      <c r="Q144" s="4"/>
    </row>
    <row r="145" spans="2:17" x14ac:dyDescent="0.2">
      <c r="B145" s="1"/>
      <c r="C145" s="3"/>
      <c r="F145" s="5"/>
      <c r="G145" s="4"/>
      <c r="H145" s="6"/>
      <c r="I145" s="4"/>
      <c r="J145" s="4"/>
      <c r="K145" s="5"/>
      <c r="L145" s="4"/>
      <c r="M145" s="6"/>
      <c r="N145" s="4"/>
      <c r="O145" s="4"/>
      <c r="P145" s="4"/>
      <c r="Q145" s="4"/>
    </row>
    <row r="146" spans="2:17" x14ac:dyDescent="0.2">
      <c r="B146" s="1"/>
      <c r="C146" s="3"/>
      <c r="F146" s="5"/>
      <c r="G146" s="4"/>
      <c r="H146" s="6"/>
      <c r="I146" s="4"/>
      <c r="J146" s="4"/>
      <c r="K146" s="5"/>
      <c r="L146" s="4"/>
      <c r="M146" s="6"/>
      <c r="N146" s="4"/>
      <c r="O146" s="4"/>
      <c r="P146" s="4"/>
      <c r="Q146" s="4"/>
    </row>
    <row r="147" spans="2:17" x14ac:dyDescent="0.2">
      <c r="B147" s="1"/>
      <c r="F147" s="5"/>
      <c r="G147" s="4"/>
      <c r="H147" s="6"/>
      <c r="I147" s="4"/>
      <c r="K147" s="5"/>
      <c r="M147" s="6"/>
    </row>
    <row r="148" spans="2:17" x14ac:dyDescent="0.2">
      <c r="B148" s="1"/>
      <c r="F148" s="5"/>
      <c r="G148" s="4"/>
      <c r="H148" s="6"/>
      <c r="I148" s="4"/>
      <c r="K148" s="5"/>
      <c r="M148" s="6"/>
    </row>
    <row r="149" spans="2:17" x14ac:dyDescent="0.2">
      <c r="B149" s="1"/>
      <c r="F149" s="19"/>
      <c r="G149" s="19"/>
      <c r="H149" s="19"/>
      <c r="I149" s="19"/>
      <c r="K149" s="5"/>
    </row>
    <row r="150" spans="2:17" x14ac:dyDescent="0.2">
      <c r="B150" s="1"/>
      <c r="F150" s="19"/>
      <c r="G150" s="19"/>
      <c r="H150" s="19"/>
      <c r="I150" s="19"/>
      <c r="K150" s="5"/>
    </row>
    <row r="151" spans="2:17" x14ac:dyDescent="0.2">
      <c r="F151" s="5"/>
      <c r="G151" s="4"/>
      <c r="H151" s="6"/>
      <c r="I151" s="4"/>
      <c r="K151" s="5"/>
    </row>
    <row r="152" spans="2:17" x14ac:dyDescent="0.2">
      <c r="F152" s="19"/>
      <c r="G152" s="19"/>
      <c r="H152" s="19"/>
      <c r="I152" s="19"/>
    </row>
    <row r="153" spans="2:17" x14ac:dyDescent="0.2">
      <c r="H153" s="6"/>
      <c r="I153" s="4"/>
    </row>
    <row r="154" spans="2:17" x14ac:dyDescent="0.2">
      <c r="H154" s="6"/>
      <c r="I154" s="4"/>
    </row>
    <row r="155" spans="2:17" x14ac:dyDescent="0.2">
      <c r="H155" s="6"/>
      <c r="I155" s="4"/>
    </row>
    <row r="156" spans="2:17" x14ac:dyDescent="0.2">
      <c r="I156" s="4"/>
    </row>
  </sheetData>
  <mergeCells count="3">
    <mergeCell ref="A1:D1"/>
    <mergeCell ref="F1:I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34BDE-A3C0-4D80-BF1A-87E8DF398054}">
  <dimension ref="A1:I45"/>
  <sheetViews>
    <sheetView workbookViewId="0">
      <pane ySplit="1" topLeftCell="A2" activePane="bottomLeft" state="frozen"/>
      <selection pane="bottomLeft" activeCell="E8" sqref="E8"/>
    </sheetView>
  </sheetViews>
  <sheetFormatPr baseColWidth="10" defaultColWidth="8.83203125" defaultRowHeight="15" x14ac:dyDescent="0.2"/>
  <cols>
    <col min="1" max="1" width="47.5" bestFit="1" customWidth="1"/>
    <col min="2" max="2" width="28.5" bestFit="1" customWidth="1"/>
    <col min="3" max="3" width="11.5" bestFit="1" customWidth="1"/>
    <col min="4" max="4" width="15.5" customWidth="1"/>
    <col min="5" max="5" width="14.6640625" bestFit="1" customWidth="1"/>
    <col min="6" max="6" width="9.83203125" bestFit="1" customWidth="1"/>
    <col min="7" max="7" width="19.6640625" style="1" bestFit="1" customWidth="1"/>
    <col min="8" max="8" width="26" bestFit="1" customWidth="1"/>
    <col min="9" max="9" width="11.5" bestFit="1" customWidth="1"/>
  </cols>
  <sheetData>
    <row r="1" spans="1:9" x14ac:dyDescent="0.2">
      <c r="A1" s="4" t="s">
        <v>44</v>
      </c>
      <c r="B1" s="4" t="s">
        <v>43</v>
      </c>
      <c r="C1" s="4" t="s">
        <v>2</v>
      </c>
      <c r="D1" s="4" t="s">
        <v>42</v>
      </c>
      <c r="E1" s="4" t="s">
        <v>41</v>
      </c>
      <c r="F1" s="4" t="s">
        <v>40</v>
      </c>
      <c r="G1" s="4" t="s">
        <v>39</v>
      </c>
      <c r="H1" s="4" t="s">
        <v>45</v>
      </c>
      <c r="I1" s="4" t="s">
        <v>38</v>
      </c>
    </row>
    <row r="2" spans="1:9" x14ac:dyDescent="0.2">
      <c r="A2" s="4" t="s">
        <v>113</v>
      </c>
      <c r="B2" s="4" t="s">
        <v>51</v>
      </c>
      <c r="C2" s="4">
        <v>10876</v>
      </c>
      <c r="D2" s="20">
        <v>1.0334345700000001</v>
      </c>
      <c r="E2" s="6">
        <f>C2*D2</f>
        <v>11239.634383320001</v>
      </c>
      <c r="F2" s="4" t="s">
        <v>32</v>
      </c>
      <c r="G2" s="9">
        <v>1</v>
      </c>
      <c r="H2" s="11">
        <v>45860</v>
      </c>
      <c r="I2" s="11">
        <v>46050</v>
      </c>
    </row>
    <row r="3" spans="1:9" x14ac:dyDescent="0.2">
      <c r="A3" s="4" t="s">
        <v>46</v>
      </c>
      <c r="B3" s="4" t="s">
        <v>37</v>
      </c>
      <c r="C3" s="4">
        <v>-1</v>
      </c>
      <c r="D3" s="6">
        <v>1007.7654946599999</v>
      </c>
      <c r="E3" s="6">
        <f t="shared" ref="E3:E26" si="0">C3*D3</f>
        <v>-1007.7654946599999</v>
      </c>
      <c r="F3" s="4" t="s">
        <v>32</v>
      </c>
      <c r="G3" s="12">
        <v>1.0024999999999999</v>
      </c>
      <c r="H3" s="11">
        <v>45859</v>
      </c>
      <c r="I3" s="11">
        <v>46204</v>
      </c>
    </row>
    <row r="4" spans="1:9" x14ac:dyDescent="0.2">
      <c r="A4" s="4" t="s">
        <v>47</v>
      </c>
      <c r="B4" s="4" t="s">
        <v>37</v>
      </c>
      <c r="C4" s="4">
        <v>-1</v>
      </c>
      <c r="D4" s="6">
        <v>1121.4322818600001</v>
      </c>
      <c r="E4" s="6">
        <f t="shared" si="0"/>
        <v>-1121.4322818600001</v>
      </c>
      <c r="F4" s="4" t="s">
        <v>32</v>
      </c>
      <c r="G4" s="9">
        <v>1</v>
      </c>
      <c r="H4" s="7">
        <v>45849</v>
      </c>
      <c r="I4" s="11">
        <v>45874</v>
      </c>
    </row>
    <row r="5" spans="1:9" x14ac:dyDescent="0.2">
      <c r="A5" s="4" t="s">
        <v>48</v>
      </c>
      <c r="B5" s="4" t="s">
        <v>49</v>
      </c>
      <c r="C5" s="4">
        <v>33</v>
      </c>
      <c r="D5" s="6">
        <v>1090.0910899999999</v>
      </c>
      <c r="E5" s="6">
        <f t="shared" si="0"/>
        <v>35973.005969999998</v>
      </c>
      <c r="F5" s="4" t="s">
        <v>32</v>
      </c>
      <c r="G5" s="9">
        <v>0.83</v>
      </c>
      <c r="H5" s="7">
        <v>45847</v>
      </c>
      <c r="I5" s="11">
        <v>45937</v>
      </c>
    </row>
    <row r="6" spans="1:9" x14ac:dyDescent="0.2">
      <c r="A6" s="4" t="s">
        <v>47</v>
      </c>
      <c r="B6" s="4" t="s">
        <v>37</v>
      </c>
      <c r="C6" s="4">
        <v>1</v>
      </c>
      <c r="D6" s="6">
        <v>1120.19679</v>
      </c>
      <c r="E6" s="6">
        <f t="shared" si="0"/>
        <v>1120.19679</v>
      </c>
      <c r="F6" s="4" t="s">
        <v>32</v>
      </c>
      <c r="G6" s="9">
        <v>1</v>
      </c>
      <c r="H6" s="7">
        <v>45847</v>
      </c>
      <c r="I6" s="11">
        <v>45874</v>
      </c>
    </row>
    <row r="7" spans="1:9" x14ac:dyDescent="0.2">
      <c r="A7" s="4" t="s">
        <v>50</v>
      </c>
      <c r="B7" s="4" t="s">
        <v>51</v>
      </c>
      <c r="C7" s="4">
        <v>-690</v>
      </c>
      <c r="D7" s="6">
        <v>1.0755154099999999</v>
      </c>
      <c r="E7" s="6">
        <f t="shared" si="0"/>
        <v>-742.10563289999993</v>
      </c>
      <c r="F7" s="4" t="s">
        <v>32</v>
      </c>
      <c r="G7" s="9">
        <v>1</v>
      </c>
      <c r="H7" s="7">
        <v>45847</v>
      </c>
      <c r="I7" s="11">
        <v>46014</v>
      </c>
    </row>
    <row r="8" spans="1:9" x14ac:dyDescent="0.2">
      <c r="A8" s="4" t="s">
        <v>52</v>
      </c>
      <c r="B8" s="4" t="s">
        <v>51</v>
      </c>
      <c r="C8" s="4">
        <v>-177</v>
      </c>
      <c r="D8" s="6">
        <v>1.29481702</v>
      </c>
      <c r="E8" s="6">
        <f t="shared" si="0"/>
        <v>-229.18261254000001</v>
      </c>
      <c r="F8" s="4" t="s">
        <v>32</v>
      </c>
      <c r="G8" s="9" t="s">
        <v>53</v>
      </c>
      <c r="H8" s="7">
        <v>45847</v>
      </c>
      <c r="I8" s="7">
        <v>45847</v>
      </c>
    </row>
    <row r="9" spans="1:9" x14ac:dyDescent="0.2">
      <c r="A9" s="4" t="s">
        <v>54</v>
      </c>
      <c r="B9" s="4" t="s">
        <v>51</v>
      </c>
      <c r="C9" s="4">
        <v>-488</v>
      </c>
      <c r="D9" s="6">
        <v>1.02450252</v>
      </c>
      <c r="E9" s="6">
        <f t="shared" si="0"/>
        <v>-499.95722975999996</v>
      </c>
      <c r="F9" s="4" t="s">
        <v>32</v>
      </c>
      <c r="G9" s="9">
        <v>1</v>
      </c>
      <c r="H9" s="7">
        <v>45842</v>
      </c>
      <c r="I9" s="7">
        <v>46028</v>
      </c>
    </row>
    <row r="10" spans="1:9" x14ac:dyDescent="0.2">
      <c r="A10" s="4" t="s">
        <v>54</v>
      </c>
      <c r="B10" s="4" t="s">
        <v>51</v>
      </c>
      <c r="C10" s="4">
        <v>488</v>
      </c>
      <c r="D10" s="6">
        <v>1.02450252</v>
      </c>
      <c r="E10" s="6">
        <f t="shared" si="0"/>
        <v>499.95722975999996</v>
      </c>
      <c r="F10" s="4" t="s">
        <v>32</v>
      </c>
      <c r="G10" s="9">
        <v>1</v>
      </c>
      <c r="H10" s="7">
        <v>45842</v>
      </c>
      <c r="I10" s="7">
        <v>46028</v>
      </c>
    </row>
    <row r="11" spans="1:9" x14ac:dyDescent="0.2">
      <c r="A11" s="4" t="s">
        <v>55</v>
      </c>
      <c r="B11" s="4" t="s">
        <v>37</v>
      </c>
      <c r="C11" s="4">
        <v>27</v>
      </c>
      <c r="D11" s="6">
        <v>1000</v>
      </c>
      <c r="E11" s="6">
        <f t="shared" si="0"/>
        <v>27000</v>
      </c>
      <c r="F11" s="4" t="s">
        <v>32</v>
      </c>
      <c r="G11" s="12">
        <v>1.0024999999999999</v>
      </c>
      <c r="H11" s="7">
        <v>45842</v>
      </c>
      <c r="I11" s="11">
        <v>46209</v>
      </c>
    </row>
    <row r="12" spans="1:9" x14ac:dyDescent="0.2">
      <c r="A12" s="4" t="s">
        <v>50</v>
      </c>
      <c r="B12" s="4" t="s">
        <v>51</v>
      </c>
      <c r="C12" s="4">
        <v>690</v>
      </c>
      <c r="D12" s="6">
        <v>1.07196461</v>
      </c>
      <c r="E12" s="6">
        <f t="shared" si="0"/>
        <v>739.65558090000002</v>
      </c>
      <c r="F12" s="4" t="s">
        <v>32</v>
      </c>
      <c r="G12" s="9">
        <v>1</v>
      </c>
      <c r="H12" s="7">
        <v>45839</v>
      </c>
      <c r="I12" s="11">
        <v>46014</v>
      </c>
    </row>
    <row r="13" spans="1:9" x14ac:dyDescent="0.2">
      <c r="A13" s="4" t="s">
        <v>56</v>
      </c>
      <c r="B13" s="4" t="s">
        <v>37</v>
      </c>
      <c r="C13" s="4">
        <v>11</v>
      </c>
      <c r="D13" s="6">
        <v>1000</v>
      </c>
      <c r="E13" s="6">
        <f t="shared" si="0"/>
        <v>11000</v>
      </c>
      <c r="F13" s="4" t="s">
        <v>32</v>
      </c>
      <c r="G13" s="12">
        <v>1.0024999999999999</v>
      </c>
      <c r="H13" s="7">
        <v>45839</v>
      </c>
      <c r="I13" s="7">
        <v>46204</v>
      </c>
    </row>
    <row r="14" spans="1:9" x14ac:dyDescent="0.2">
      <c r="A14" s="4" t="s">
        <v>52</v>
      </c>
      <c r="B14" s="4" t="s">
        <v>51</v>
      </c>
      <c r="C14" s="4">
        <v>177</v>
      </c>
      <c r="D14" s="6">
        <v>1.2884508100000001</v>
      </c>
      <c r="E14" s="6">
        <f t="shared" si="0"/>
        <v>228.05579337</v>
      </c>
      <c r="F14" s="4" t="s">
        <v>32</v>
      </c>
      <c r="G14" s="9" t="s">
        <v>53</v>
      </c>
      <c r="H14" s="7">
        <v>45835</v>
      </c>
      <c r="I14" s="7">
        <v>45847</v>
      </c>
    </row>
    <row r="15" spans="1:9" x14ac:dyDescent="0.2">
      <c r="A15" s="4" t="s">
        <v>47</v>
      </c>
      <c r="B15" s="4" t="s">
        <v>37</v>
      </c>
      <c r="C15" s="4">
        <v>14</v>
      </c>
      <c r="D15" s="6">
        <v>1115.0226399999999</v>
      </c>
      <c r="E15" s="6">
        <f t="shared" si="0"/>
        <v>15610.316959999998</v>
      </c>
      <c r="F15" s="4" t="s">
        <v>32</v>
      </c>
      <c r="G15" s="9">
        <v>1</v>
      </c>
      <c r="H15" s="7">
        <v>45835</v>
      </c>
      <c r="I15" s="7">
        <v>45874</v>
      </c>
    </row>
    <row r="16" spans="1:9" x14ac:dyDescent="0.2">
      <c r="A16" s="4" t="s">
        <v>57</v>
      </c>
      <c r="B16" s="4" t="s">
        <v>33</v>
      </c>
      <c r="C16" s="4">
        <v>-9</v>
      </c>
      <c r="D16" s="6">
        <v>1113.25728</v>
      </c>
      <c r="E16" s="6">
        <f t="shared" si="0"/>
        <v>-10019.31552</v>
      </c>
      <c r="F16" s="4" t="s">
        <v>32</v>
      </c>
      <c r="G16" s="9">
        <v>1</v>
      </c>
      <c r="H16" s="7">
        <v>45831</v>
      </c>
      <c r="I16" s="7">
        <v>45877</v>
      </c>
    </row>
    <row r="17" spans="1:9" x14ac:dyDescent="0.2">
      <c r="A17" s="4" t="s">
        <v>57</v>
      </c>
      <c r="B17" s="4" t="s">
        <v>33</v>
      </c>
      <c r="C17" s="4">
        <v>33</v>
      </c>
      <c r="D17" s="6">
        <v>1112.6438700000001</v>
      </c>
      <c r="E17" s="6">
        <f t="shared" si="0"/>
        <v>36717.247710000003</v>
      </c>
      <c r="F17" s="4" t="s">
        <v>32</v>
      </c>
      <c r="G17" s="9">
        <v>1</v>
      </c>
      <c r="H17" s="7">
        <v>45828</v>
      </c>
      <c r="I17" s="7">
        <v>45877</v>
      </c>
    </row>
    <row r="18" spans="1:9" ht="14.25" customHeight="1" x14ac:dyDescent="0.2">
      <c r="A18" s="4" t="s">
        <v>60</v>
      </c>
      <c r="B18" s="4" t="s">
        <v>61</v>
      </c>
      <c r="C18" s="4">
        <v>-5</v>
      </c>
      <c r="D18" s="6">
        <v>1305.18136</v>
      </c>
      <c r="E18" s="6">
        <f t="shared" ref="E18:E19" si="1">C18*D18</f>
        <v>-6525.9068000000007</v>
      </c>
      <c r="F18" s="4" t="s">
        <v>32</v>
      </c>
      <c r="G18" s="9">
        <v>1.19</v>
      </c>
      <c r="H18" s="7">
        <v>45723</v>
      </c>
      <c r="I18" s="7">
        <v>45723</v>
      </c>
    </row>
    <row r="19" spans="1:9" ht="14.25" customHeight="1" x14ac:dyDescent="0.2">
      <c r="A19" s="4" t="s">
        <v>58</v>
      </c>
      <c r="B19" s="4" t="s">
        <v>59</v>
      </c>
      <c r="C19" s="4">
        <v>-10</v>
      </c>
      <c r="D19" s="6">
        <v>1105.67776</v>
      </c>
      <c r="E19" s="6">
        <f t="shared" si="1"/>
        <v>-11056.777600000001</v>
      </c>
      <c r="F19" s="4" t="s">
        <v>32</v>
      </c>
      <c r="G19" s="9">
        <v>0.95</v>
      </c>
      <c r="H19" s="7">
        <v>45714</v>
      </c>
      <c r="I19" s="7">
        <v>45714</v>
      </c>
    </row>
    <row r="20" spans="1:9" ht="14.25" customHeight="1" x14ac:dyDescent="0.2">
      <c r="A20" s="4" t="s">
        <v>62</v>
      </c>
      <c r="B20" s="4" t="s">
        <v>63</v>
      </c>
      <c r="C20" s="4">
        <v>10</v>
      </c>
      <c r="D20" s="6">
        <v>1000</v>
      </c>
      <c r="E20" s="6">
        <f t="shared" si="0"/>
        <v>10000</v>
      </c>
      <c r="F20" s="4" t="s">
        <v>64</v>
      </c>
      <c r="G20" s="9" t="s">
        <v>65</v>
      </c>
      <c r="H20" s="7">
        <v>45404</v>
      </c>
      <c r="I20" s="7">
        <v>46504</v>
      </c>
    </row>
    <row r="21" spans="1:9" ht="14.25" customHeight="1" x14ac:dyDescent="0.2">
      <c r="A21" s="4" t="s">
        <v>66</v>
      </c>
      <c r="B21" s="4" t="s">
        <v>33</v>
      </c>
      <c r="C21" s="4">
        <v>-3</v>
      </c>
      <c r="D21" s="6">
        <v>1130.1331700000001</v>
      </c>
      <c r="E21" s="6">
        <f t="shared" si="0"/>
        <v>-3390.3995100000002</v>
      </c>
      <c r="F21" s="4" t="s">
        <v>32</v>
      </c>
      <c r="G21" s="9">
        <v>1.05</v>
      </c>
      <c r="H21" s="7">
        <v>45394</v>
      </c>
      <c r="I21" s="7">
        <v>45394</v>
      </c>
    </row>
    <row r="22" spans="1:9" x14ac:dyDescent="0.2">
      <c r="A22" s="4" t="s">
        <v>58</v>
      </c>
      <c r="B22" s="4" t="s">
        <v>59</v>
      </c>
      <c r="C22" s="4">
        <v>10</v>
      </c>
      <c r="D22" s="6">
        <v>1000</v>
      </c>
      <c r="E22" s="6">
        <f t="shared" si="0"/>
        <v>10000</v>
      </c>
      <c r="F22" s="4" t="s">
        <v>32</v>
      </c>
      <c r="G22" s="9">
        <v>0.95</v>
      </c>
      <c r="H22" s="7">
        <v>45348</v>
      </c>
      <c r="I22" s="7">
        <v>45714</v>
      </c>
    </row>
    <row r="23" spans="1:9" x14ac:dyDescent="0.2">
      <c r="A23" s="4" t="s">
        <v>60</v>
      </c>
      <c r="B23" s="4" t="s">
        <v>61</v>
      </c>
      <c r="C23" s="4">
        <v>5</v>
      </c>
      <c r="D23" s="6">
        <v>1147.5095100000001</v>
      </c>
      <c r="E23" s="6">
        <f t="shared" si="0"/>
        <v>5737.5475500000002</v>
      </c>
      <c r="F23" s="4" t="s">
        <v>32</v>
      </c>
      <c r="G23" s="13">
        <v>1.19</v>
      </c>
      <c r="H23" s="7">
        <v>45348</v>
      </c>
      <c r="I23" s="7">
        <v>45723</v>
      </c>
    </row>
    <row r="24" spans="1:9" x14ac:dyDescent="0.2">
      <c r="A24" s="4" t="s">
        <v>67</v>
      </c>
      <c r="B24" s="4" t="s">
        <v>68</v>
      </c>
      <c r="C24" s="4">
        <v>5</v>
      </c>
      <c r="D24" s="6">
        <v>1006.23187553</v>
      </c>
      <c r="E24" s="6">
        <f t="shared" si="0"/>
        <v>5031.1593776500004</v>
      </c>
      <c r="F24" s="4" t="s">
        <v>32</v>
      </c>
      <c r="G24" s="14">
        <v>1.3070999999999999</v>
      </c>
      <c r="H24" s="7">
        <v>45348</v>
      </c>
      <c r="I24" s="7">
        <v>47478</v>
      </c>
    </row>
    <row r="25" spans="1:9" x14ac:dyDescent="0.2">
      <c r="A25" s="4" t="s">
        <v>69</v>
      </c>
      <c r="B25" s="4" t="s">
        <v>70</v>
      </c>
      <c r="C25" s="4">
        <v>70</v>
      </c>
      <c r="D25" s="6">
        <v>1000</v>
      </c>
      <c r="E25" s="6">
        <f t="shared" si="0"/>
        <v>70000</v>
      </c>
      <c r="F25" s="4" t="s">
        <v>32</v>
      </c>
      <c r="G25" s="14">
        <v>1.175</v>
      </c>
      <c r="H25" s="7">
        <v>45160</v>
      </c>
      <c r="I25" s="7">
        <v>45890</v>
      </c>
    </row>
    <row r="26" spans="1:9" x14ac:dyDescent="0.2">
      <c r="A26" s="4" t="s">
        <v>66</v>
      </c>
      <c r="B26" s="4" t="s">
        <v>33</v>
      </c>
      <c r="C26" s="4">
        <v>3</v>
      </c>
      <c r="D26" s="6">
        <v>1000</v>
      </c>
      <c r="E26" s="6">
        <f t="shared" si="0"/>
        <v>3000</v>
      </c>
      <c r="F26" s="4" t="s">
        <v>32</v>
      </c>
      <c r="G26" s="13">
        <v>1.05</v>
      </c>
      <c r="H26" s="7">
        <v>45029</v>
      </c>
      <c r="I26" s="7">
        <v>45394</v>
      </c>
    </row>
    <row r="27" spans="1:9" x14ac:dyDescent="0.2">
      <c r="A27" s="4"/>
      <c r="B27" s="4"/>
      <c r="C27" s="4"/>
      <c r="D27" s="6"/>
      <c r="E27" s="6"/>
      <c r="F27" s="4"/>
      <c r="G27" s="4"/>
      <c r="H27" s="7"/>
      <c r="I27" s="7"/>
    </row>
    <row r="28" spans="1:9" x14ac:dyDescent="0.2">
      <c r="A28" s="4"/>
      <c r="B28" s="4"/>
      <c r="C28" s="4"/>
      <c r="D28" s="6"/>
      <c r="E28" s="6"/>
      <c r="F28" s="4"/>
      <c r="G28" s="4"/>
      <c r="H28" s="7"/>
      <c r="I28" s="7"/>
    </row>
    <row r="29" spans="1:9" x14ac:dyDescent="0.2">
      <c r="A29" s="4"/>
      <c r="B29" s="4"/>
      <c r="C29" s="4"/>
      <c r="D29" s="6"/>
      <c r="E29" s="6"/>
      <c r="F29" s="4"/>
      <c r="G29" s="4"/>
      <c r="H29" s="7"/>
      <c r="I29" s="7"/>
    </row>
    <row r="30" spans="1:9" x14ac:dyDescent="0.2">
      <c r="A30" s="4"/>
      <c r="B30" s="4"/>
      <c r="C30" s="4"/>
      <c r="D30" s="6"/>
      <c r="E30" s="6"/>
      <c r="F30" s="4"/>
      <c r="G30" s="4"/>
      <c r="H30" s="7"/>
      <c r="I30" s="7"/>
    </row>
    <row r="31" spans="1:9" x14ac:dyDescent="0.2">
      <c r="A31" s="4"/>
      <c r="B31" s="4"/>
      <c r="C31" s="4"/>
      <c r="D31" s="6"/>
      <c r="E31" s="6"/>
      <c r="F31" s="4"/>
      <c r="G31" s="4"/>
      <c r="H31" s="7"/>
      <c r="I31" s="7"/>
    </row>
    <row r="32" spans="1:9" x14ac:dyDescent="0.2">
      <c r="A32" s="4"/>
      <c r="B32" s="4"/>
      <c r="C32" s="4"/>
      <c r="D32" s="6"/>
      <c r="E32" s="6"/>
      <c r="F32" s="4"/>
      <c r="G32" s="4"/>
      <c r="H32" s="7"/>
      <c r="I32" s="7"/>
    </row>
    <row r="33" spans="1:9" x14ac:dyDescent="0.2">
      <c r="A33" s="4"/>
      <c r="B33" s="4"/>
      <c r="C33" s="4"/>
      <c r="D33" s="6"/>
      <c r="E33" s="6"/>
      <c r="F33" s="4"/>
      <c r="G33" s="4"/>
      <c r="H33" s="7"/>
      <c r="I33" s="7"/>
    </row>
    <row r="34" spans="1:9" x14ac:dyDescent="0.2">
      <c r="A34" s="4"/>
      <c r="B34" s="4"/>
      <c r="C34" s="4"/>
      <c r="D34" s="6"/>
      <c r="E34" s="6"/>
      <c r="F34" s="4"/>
      <c r="G34" s="4"/>
      <c r="H34" s="7"/>
      <c r="I34" s="7"/>
    </row>
    <row r="35" spans="1:9" x14ac:dyDescent="0.2">
      <c r="A35" s="4"/>
      <c r="B35" s="4"/>
      <c r="C35" s="4"/>
      <c r="D35" s="6"/>
      <c r="E35" s="6"/>
      <c r="F35" s="4"/>
      <c r="G35" s="4"/>
      <c r="H35" s="7"/>
      <c r="I35" s="7"/>
    </row>
    <row r="36" spans="1:9" x14ac:dyDescent="0.2">
      <c r="A36" s="4"/>
      <c r="B36" s="4"/>
      <c r="C36" s="4"/>
      <c r="D36" s="6"/>
      <c r="E36" s="6"/>
      <c r="F36" s="4"/>
      <c r="G36" s="4"/>
      <c r="H36" s="7"/>
      <c r="I36" s="7"/>
    </row>
    <row r="37" spans="1:9" x14ac:dyDescent="0.2">
      <c r="A37" s="4"/>
      <c r="B37" s="4"/>
      <c r="C37" s="4"/>
      <c r="D37" s="4"/>
      <c r="E37" s="6"/>
      <c r="F37" s="4"/>
      <c r="G37" s="4"/>
      <c r="H37" s="7"/>
      <c r="I37" s="7"/>
    </row>
    <row r="38" spans="1:9" x14ac:dyDescent="0.2">
      <c r="A38" s="4"/>
      <c r="B38" s="4"/>
      <c r="C38" s="4"/>
      <c r="D38" s="4"/>
      <c r="E38" s="6"/>
      <c r="F38" s="4"/>
      <c r="G38" s="4"/>
      <c r="H38" s="7"/>
      <c r="I38" s="7"/>
    </row>
    <row r="39" spans="1:9" x14ac:dyDescent="0.2">
      <c r="E39" s="8"/>
      <c r="H39" s="7"/>
      <c r="I39" s="7"/>
    </row>
    <row r="40" spans="1:9" x14ac:dyDescent="0.2">
      <c r="E40" s="8"/>
      <c r="H40" s="7"/>
      <c r="I40" s="7"/>
    </row>
    <row r="41" spans="1:9" x14ac:dyDescent="0.2">
      <c r="E41" s="8"/>
      <c r="H41" s="7"/>
      <c r="I41" s="7"/>
    </row>
    <row r="42" spans="1:9" x14ac:dyDescent="0.2">
      <c r="E42" s="8"/>
      <c r="H42" s="7"/>
      <c r="I42" s="7"/>
    </row>
    <row r="43" spans="1:9" x14ac:dyDescent="0.2">
      <c r="E43" s="8"/>
      <c r="H43" s="7"/>
      <c r="I43" s="7"/>
    </row>
    <row r="44" spans="1:9" x14ac:dyDescent="0.2">
      <c r="E44" s="8"/>
      <c r="H44" s="7"/>
      <c r="I44" s="7"/>
    </row>
    <row r="45" spans="1:9" x14ac:dyDescent="0.2">
      <c r="E45" s="8"/>
      <c r="H45" s="7"/>
      <c r="I4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2CC2-276B-416A-898B-14948BB75299}">
  <dimension ref="A1:K9"/>
  <sheetViews>
    <sheetView workbookViewId="0">
      <selection activeCell="B38" sqref="B38"/>
    </sheetView>
  </sheetViews>
  <sheetFormatPr baseColWidth="10" defaultColWidth="8.83203125" defaultRowHeight="15" x14ac:dyDescent="0.2"/>
  <cols>
    <col min="1" max="1" width="14.5" bestFit="1" customWidth="1"/>
    <col min="2" max="2" width="22.6640625" bestFit="1" customWidth="1"/>
    <col min="3" max="3" width="11.5" bestFit="1" customWidth="1"/>
    <col min="4" max="4" width="14.1640625" bestFit="1" customWidth="1"/>
    <col min="5" max="5" width="14.6640625" bestFit="1" customWidth="1"/>
    <col min="6" max="6" width="9.83203125" bestFit="1" customWidth="1"/>
    <col min="7" max="7" width="19.6640625" bestFit="1" customWidth="1"/>
    <col min="8" max="8" width="26" bestFit="1" customWidth="1"/>
    <col min="9" max="9" width="11.5" bestFit="1" customWidth="1"/>
    <col min="10" max="10" width="10.1640625" bestFit="1" customWidth="1"/>
    <col min="11" max="11" width="12.5" bestFit="1" customWidth="1"/>
  </cols>
  <sheetData>
    <row r="1" spans="1:11" x14ac:dyDescent="0.2">
      <c r="A1" s="4" t="s">
        <v>44</v>
      </c>
      <c r="B1" s="4" t="s">
        <v>43</v>
      </c>
      <c r="C1" s="4" t="s">
        <v>2</v>
      </c>
      <c r="D1" s="4" t="s">
        <v>42</v>
      </c>
      <c r="E1" s="4" t="s">
        <v>41</v>
      </c>
      <c r="F1" s="4" t="s">
        <v>40</v>
      </c>
      <c r="G1" s="4" t="s">
        <v>39</v>
      </c>
      <c r="H1" s="4" t="s">
        <v>45</v>
      </c>
      <c r="I1" s="4" t="s">
        <v>38</v>
      </c>
      <c r="J1" s="4" t="s">
        <v>72</v>
      </c>
      <c r="K1" s="4" t="s">
        <v>79</v>
      </c>
    </row>
    <row r="2" spans="1:11" x14ac:dyDescent="0.2">
      <c r="A2" s="4" t="s">
        <v>71</v>
      </c>
      <c r="B2" s="4" t="s">
        <v>73</v>
      </c>
      <c r="C2" s="4">
        <v>8</v>
      </c>
      <c r="D2" s="15">
        <v>1024.4359690000001</v>
      </c>
      <c r="E2" s="15">
        <f>C2*D2</f>
        <v>8195.4877520000009</v>
      </c>
      <c r="F2" s="4" t="s">
        <v>64</v>
      </c>
      <c r="G2" s="4" t="s">
        <v>74</v>
      </c>
      <c r="H2" s="11">
        <v>45404</v>
      </c>
      <c r="I2" s="11">
        <v>47805</v>
      </c>
      <c r="J2" s="4" t="s">
        <v>75</v>
      </c>
      <c r="K2" s="4" t="s">
        <v>80</v>
      </c>
    </row>
    <row r="3" spans="1:11" x14ac:dyDescent="0.2">
      <c r="A3" s="4" t="s">
        <v>76</v>
      </c>
      <c r="B3" s="4" t="s">
        <v>36</v>
      </c>
      <c r="C3" s="4">
        <v>13</v>
      </c>
      <c r="D3" s="15">
        <v>1047.078692</v>
      </c>
      <c r="E3" s="15">
        <f>C3*D3</f>
        <v>13612.022996</v>
      </c>
      <c r="F3" s="4" t="s">
        <v>64</v>
      </c>
      <c r="G3" s="4" t="s">
        <v>77</v>
      </c>
      <c r="H3" s="11">
        <v>45404</v>
      </c>
      <c r="I3" s="11">
        <v>47406</v>
      </c>
      <c r="J3" s="4" t="s">
        <v>78</v>
      </c>
      <c r="K3" s="4" t="s">
        <v>81</v>
      </c>
    </row>
    <row r="4" spans="1:11" x14ac:dyDescent="0.2">
      <c r="A4" s="4"/>
      <c r="B4" s="4"/>
      <c r="C4" s="4"/>
      <c r="D4" s="4"/>
      <c r="E4" s="4"/>
      <c r="F4" s="4"/>
      <c r="G4" s="4"/>
      <c r="H4" s="4"/>
      <c r="I4" s="4"/>
      <c r="J4" s="4"/>
    </row>
    <row r="5" spans="1:11" x14ac:dyDescent="0.2">
      <c r="A5" s="4"/>
      <c r="B5" s="4"/>
      <c r="C5" s="4"/>
      <c r="D5" s="4"/>
      <c r="E5" s="4"/>
      <c r="F5" s="4"/>
      <c r="G5" s="4"/>
      <c r="H5" s="4"/>
      <c r="I5" s="4"/>
      <c r="J5" s="4"/>
    </row>
    <row r="6" spans="1:11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1" x14ac:dyDescent="0.2">
      <c r="A7" s="4"/>
      <c r="B7" s="4"/>
      <c r="C7" s="4"/>
      <c r="D7" s="4"/>
      <c r="E7" s="4"/>
      <c r="F7" s="4"/>
      <c r="G7" s="4"/>
      <c r="H7" s="4"/>
      <c r="I7" s="4"/>
      <c r="J7" s="4"/>
    </row>
    <row r="8" spans="1:11" x14ac:dyDescent="0.2">
      <c r="A8" s="4"/>
      <c r="B8" s="4"/>
      <c r="C8" s="4"/>
      <c r="D8" s="4"/>
      <c r="E8" s="4"/>
      <c r="F8" s="4"/>
      <c r="G8" s="4"/>
      <c r="H8" s="4"/>
      <c r="I8" s="4"/>
      <c r="J8" s="4"/>
    </row>
    <row r="9" spans="1:11" x14ac:dyDescent="0.2">
      <c r="A9" s="4"/>
      <c r="B9" s="4"/>
      <c r="C9" s="4"/>
      <c r="D9" s="4"/>
      <c r="E9" s="4"/>
      <c r="F9" s="4"/>
      <c r="G9" s="4"/>
      <c r="H9" s="4"/>
      <c r="I9" s="4"/>
      <c r="J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6E205-B5F6-4D3A-ACCE-355037245CDD}">
  <dimension ref="A1:L18"/>
  <sheetViews>
    <sheetView workbookViewId="0">
      <selection activeCell="F11" sqref="F11"/>
    </sheetView>
  </sheetViews>
  <sheetFormatPr baseColWidth="10" defaultColWidth="8.83203125" defaultRowHeight="15" x14ac:dyDescent="0.2"/>
  <cols>
    <col min="1" max="1" width="21.6640625" bestFit="1" customWidth="1"/>
    <col min="2" max="2" width="11.5" bestFit="1" customWidth="1"/>
    <col min="3" max="3" width="14.1640625" bestFit="1" customWidth="1"/>
    <col min="4" max="4" width="14.6640625" bestFit="1" customWidth="1"/>
    <col min="5" max="5" width="16.5" bestFit="1" customWidth="1"/>
    <col min="6" max="6" width="25.1640625" bestFit="1" customWidth="1"/>
    <col min="7" max="7" width="26" bestFit="1" customWidth="1"/>
    <col min="8" max="8" width="11.5" bestFit="1" customWidth="1"/>
    <col min="9" max="10" width="11.5" customWidth="1"/>
  </cols>
  <sheetData>
    <row r="1" spans="1:12" x14ac:dyDescent="0.2">
      <c r="A1" s="4" t="s">
        <v>44</v>
      </c>
      <c r="B1" s="4" t="s">
        <v>2</v>
      </c>
      <c r="C1" s="4" t="s">
        <v>42</v>
      </c>
      <c r="D1" s="4" t="s">
        <v>41</v>
      </c>
      <c r="E1" s="4" t="s">
        <v>40</v>
      </c>
      <c r="F1" s="4" t="s">
        <v>39</v>
      </c>
      <c r="G1" s="4" t="s">
        <v>45</v>
      </c>
      <c r="H1" s="4" t="s">
        <v>38</v>
      </c>
      <c r="I1" s="4"/>
      <c r="J1" s="4"/>
    </row>
    <row r="2" spans="1:12" x14ac:dyDescent="0.2">
      <c r="A2" s="4" t="s">
        <v>85</v>
      </c>
      <c r="B2" s="4">
        <v>-12.29</v>
      </c>
      <c r="C2" s="15">
        <v>938.21</v>
      </c>
      <c r="D2" s="15">
        <f>B2*C2</f>
        <v>-11530.600899999999</v>
      </c>
      <c r="E2" s="4" t="s">
        <v>86</v>
      </c>
      <c r="F2" s="4" t="s">
        <v>87</v>
      </c>
      <c r="G2" s="11">
        <v>45860</v>
      </c>
      <c r="H2" s="11">
        <v>46023</v>
      </c>
      <c r="I2" s="4"/>
      <c r="J2" s="4"/>
    </row>
    <row r="3" spans="1:12" x14ac:dyDescent="0.2">
      <c r="A3" s="4" t="s">
        <v>85</v>
      </c>
      <c r="B3" s="4">
        <v>12.29</v>
      </c>
      <c r="C3" s="15">
        <v>813.82</v>
      </c>
      <c r="D3" s="15">
        <f>B3*C3</f>
        <v>10001.8478</v>
      </c>
      <c r="E3" s="4" t="s">
        <v>86</v>
      </c>
      <c r="F3" s="4" t="s">
        <v>87</v>
      </c>
      <c r="G3" s="11">
        <v>45250</v>
      </c>
      <c r="H3" s="11">
        <v>46023</v>
      </c>
      <c r="I3" s="4"/>
      <c r="J3" s="4"/>
    </row>
    <row r="4" spans="1:12" x14ac:dyDescent="0.2">
      <c r="A4" s="4" t="s">
        <v>82</v>
      </c>
      <c r="B4" s="4">
        <v>-0.13</v>
      </c>
      <c r="C4" s="15">
        <v>13824.44</v>
      </c>
      <c r="D4" s="16">
        <f>C4*B4</f>
        <v>-1797.1772000000001</v>
      </c>
      <c r="E4" s="4" t="s">
        <v>83</v>
      </c>
      <c r="F4" s="4" t="s">
        <v>84</v>
      </c>
      <c r="G4" s="11">
        <v>45191</v>
      </c>
      <c r="H4" s="11">
        <v>46082</v>
      </c>
      <c r="I4" s="4"/>
      <c r="J4" s="4"/>
      <c r="K4" s="4"/>
      <c r="L4" s="4"/>
    </row>
    <row r="5" spans="1:12" x14ac:dyDescent="0.2">
      <c r="A5" s="4" t="s">
        <v>82</v>
      </c>
      <c r="B5" s="4">
        <v>-0.01</v>
      </c>
      <c r="C5" s="15">
        <v>13824.44</v>
      </c>
      <c r="D5" s="16">
        <f>C5*B5</f>
        <v>-138.24440000000001</v>
      </c>
      <c r="E5" s="4" t="s">
        <v>83</v>
      </c>
      <c r="F5" s="4" t="s">
        <v>84</v>
      </c>
      <c r="G5" s="11">
        <v>45191</v>
      </c>
      <c r="H5" s="11">
        <v>46082</v>
      </c>
      <c r="I5" s="4"/>
      <c r="J5" s="4"/>
      <c r="K5" s="4"/>
      <c r="L5" s="4"/>
    </row>
    <row r="6" spans="1:12" x14ac:dyDescent="0.2">
      <c r="A6" s="4" t="s">
        <v>82</v>
      </c>
      <c r="B6" s="4">
        <v>0.14000000000000001</v>
      </c>
      <c r="C6" s="15">
        <v>13794.25</v>
      </c>
      <c r="D6" s="16">
        <f>C6*B6</f>
        <v>1931.1950000000002</v>
      </c>
      <c r="E6" s="4" t="s">
        <v>83</v>
      </c>
      <c r="F6" s="4" t="s">
        <v>84</v>
      </c>
      <c r="G6" s="11">
        <v>45183</v>
      </c>
      <c r="H6" s="11">
        <v>46082</v>
      </c>
      <c r="I6" s="11"/>
      <c r="J6" s="11"/>
      <c r="K6" s="4"/>
      <c r="L6" s="4"/>
    </row>
    <row r="7" spans="1:12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x14ac:dyDescent="0.2">
      <c r="A10" s="4"/>
      <c r="B10" s="4"/>
      <c r="C10" s="4"/>
      <c r="D10" s="16"/>
      <c r="E10" s="4"/>
      <c r="F10" s="4"/>
      <c r="G10" s="4"/>
      <c r="H10" s="4"/>
      <c r="I10" s="4"/>
      <c r="J10" s="4"/>
      <c r="K10" s="4"/>
      <c r="L10" s="4"/>
    </row>
    <row r="11" spans="1:12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7B50-9511-4AEC-BBE6-A731A0561AC8}">
  <dimension ref="A1:J23"/>
  <sheetViews>
    <sheetView workbookViewId="0">
      <selection activeCell="F38" sqref="F38"/>
    </sheetView>
  </sheetViews>
  <sheetFormatPr baseColWidth="10" defaultColWidth="8.83203125" defaultRowHeight="15" x14ac:dyDescent="0.2"/>
  <cols>
    <col min="1" max="1" width="13.33203125" bestFit="1" customWidth="1"/>
    <col min="2" max="2" width="11.5" bestFit="1" customWidth="1"/>
    <col min="3" max="3" width="20.5" bestFit="1" customWidth="1"/>
    <col min="4" max="4" width="14.6640625" bestFit="1" customWidth="1"/>
    <col min="5" max="5" width="10.5" bestFit="1" customWidth="1"/>
    <col min="6" max="6" width="26.33203125" bestFit="1" customWidth="1"/>
    <col min="7" max="7" width="26" bestFit="1" customWidth="1"/>
    <col min="8" max="8" width="11.5" bestFit="1" customWidth="1"/>
    <col min="9" max="9" width="9.6640625" bestFit="1" customWidth="1"/>
    <col min="10" max="10" width="12.1640625" bestFit="1" customWidth="1"/>
  </cols>
  <sheetData>
    <row r="1" spans="1:10" x14ac:dyDescent="0.2">
      <c r="A1" s="4" t="s">
        <v>44</v>
      </c>
      <c r="B1" s="4" t="s">
        <v>2</v>
      </c>
      <c r="C1" s="4" t="s">
        <v>42</v>
      </c>
      <c r="D1" s="4" t="s">
        <v>41</v>
      </c>
      <c r="E1" s="4" t="s">
        <v>40</v>
      </c>
      <c r="F1" s="4" t="s">
        <v>39</v>
      </c>
      <c r="G1" s="4" t="s">
        <v>45</v>
      </c>
      <c r="H1" s="4" t="s">
        <v>38</v>
      </c>
      <c r="I1" s="4" t="s">
        <v>90</v>
      </c>
      <c r="J1" s="4" t="s">
        <v>91</v>
      </c>
    </row>
    <row r="2" spans="1:10" x14ac:dyDescent="0.2">
      <c r="A2" s="4" t="s">
        <v>98</v>
      </c>
      <c r="B2" s="4">
        <v>-12</v>
      </c>
      <c r="C2" s="15">
        <v>1000</v>
      </c>
      <c r="D2" s="16">
        <f>B2*C2</f>
        <v>-12000</v>
      </c>
      <c r="E2" s="4" t="s">
        <v>34</v>
      </c>
      <c r="F2" s="10">
        <v>9.5875000000000002E-2</v>
      </c>
      <c r="G2" s="11">
        <v>45839</v>
      </c>
      <c r="H2" s="11">
        <v>45839</v>
      </c>
      <c r="I2" s="4" t="s">
        <v>92</v>
      </c>
      <c r="J2" s="4" t="s">
        <v>92</v>
      </c>
    </row>
    <row r="3" spans="1:10" x14ac:dyDescent="0.2">
      <c r="A3" s="4" t="s">
        <v>88</v>
      </c>
      <c r="B3" s="4">
        <v>-1</v>
      </c>
      <c r="C3" s="15">
        <v>4639.888285</v>
      </c>
      <c r="D3" s="16">
        <f t="shared" ref="D3:D17" si="0">B3*C3</f>
        <v>-4639.888285</v>
      </c>
      <c r="E3" s="4" t="s">
        <v>35</v>
      </c>
      <c r="F3" s="4" t="s">
        <v>99</v>
      </c>
      <c r="G3" s="11">
        <v>45792</v>
      </c>
      <c r="H3" s="11">
        <v>45792</v>
      </c>
      <c r="I3" s="4" t="s">
        <v>78</v>
      </c>
      <c r="J3" s="4" t="s">
        <v>92</v>
      </c>
    </row>
    <row r="4" spans="1:10" x14ac:dyDescent="0.2">
      <c r="A4" s="4" t="s">
        <v>88</v>
      </c>
      <c r="B4" s="4">
        <v>-3</v>
      </c>
      <c r="C4" s="15">
        <v>4639.888285</v>
      </c>
      <c r="D4" s="16">
        <f t="shared" si="0"/>
        <v>-13919.664854999999</v>
      </c>
      <c r="E4" s="4" t="s">
        <v>35</v>
      </c>
      <c r="F4" s="4" t="s">
        <v>100</v>
      </c>
      <c r="G4" s="11">
        <v>45792</v>
      </c>
      <c r="H4" s="11">
        <v>45792</v>
      </c>
      <c r="I4" s="4" t="s">
        <v>78</v>
      </c>
      <c r="J4" s="4" t="s">
        <v>92</v>
      </c>
    </row>
    <row r="5" spans="1:10" x14ac:dyDescent="0.2">
      <c r="A5" s="4" t="s">
        <v>88</v>
      </c>
      <c r="B5" s="4">
        <v>12</v>
      </c>
      <c r="C5" s="15">
        <v>4391.1361550000001</v>
      </c>
      <c r="D5" s="16">
        <f t="shared" si="0"/>
        <v>52693.633860000002</v>
      </c>
      <c r="E5" s="4" t="s">
        <v>64</v>
      </c>
      <c r="F5" s="4" t="s">
        <v>89</v>
      </c>
      <c r="G5" s="11">
        <v>45659</v>
      </c>
      <c r="H5" s="11">
        <v>46249</v>
      </c>
      <c r="I5" s="4" t="s">
        <v>78</v>
      </c>
      <c r="J5" s="4" t="s">
        <v>92</v>
      </c>
    </row>
    <row r="6" spans="1:10" ht="16" x14ac:dyDescent="0.2">
      <c r="A6" s="4" t="s">
        <v>93</v>
      </c>
      <c r="B6" s="4">
        <v>3</v>
      </c>
      <c r="C6" s="15">
        <v>15827.964796</v>
      </c>
      <c r="D6" s="16">
        <f t="shared" si="0"/>
        <v>47483.894388000001</v>
      </c>
      <c r="E6" s="17" t="s">
        <v>94</v>
      </c>
      <c r="F6" s="4" t="s">
        <v>95</v>
      </c>
      <c r="G6" s="11">
        <v>45659</v>
      </c>
      <c r="H6" s="11">
        <v>46082</v>
      </c>
      <c r="I6" s="4" t="s">
        <v>92</v>
      </c>
      <c r="J6" s="4" t="s">
        <v>92</v>
      </c>
    </row>
    <row r="7" spans="1:10" x14ac:dyDescent="0.2">
      <c r="A7" s="4" t="s">
        <v>101</v>
      </c>
      <c r="B7" s="4">
        <v>-35</v>
      </c>
      <c r="C7" s="15">
        <v>1048.8088499999999</v>
      </c>
      <c r="D7" s="16">
        <f t="shared" si="0"/>
        <v>-36708.309749999993</v>
      </c>
      <c r="E7" s="4" t="s">
        <v>34</v>
      </c>
      <c r="F7" s="14">
        <v>0.10402500000000001</v>
      </c>
      <c r="G7" s="11">
        <v>45658</v>
      </c>
      <c r="H7" s="11">
        <v>45658</v>
      </c>
      <c r="I7" s="4" t="s">
        <v>78</v>
      </c>
      <c r="J7" s="4" t="s">
        <v>92</v>
      </c>
    </row>
    <row r="8" spans="1:10" x14ac:dyDescent="0.2">
      <c r="A8" s="4" t="s">
        <v>101</v>
      </c>
      <c r="B8" s="4">
        <v>-15</v>
      </c>
      <c r="C8" s="15">
        <v>1048.8088499999999</v>
      </c>
      <c r="D8" s="16">
        <f t="shared" si="0"/>
        <v>-15732.132749999999</v>
      </c>
      <c r="E8" s="4" t="s">
        <v>34</v>
      </c>
      <c r="F8" s="14">
        <v>9.7174999999999997E-2</v>
      </c>
      <c r="G8" s="11">
        <v>45658</v>
      </c>
      <c r="H8" s="11">
        <v>45658</v>
      </c>
      <c r="I8" s="4" t="s">
        <v>78</v>
      </c>
      <c r="J8" s="4" t="s">
        <v>92</v>
      </c>
    </row>
    <row r="9" spans="1:10" x14ac:dyDescent="0.2">
      <c r="A9" s="4" t="s">
        <v>88</v>
      </c>
      <c r="B9" s="4">
        <v>-1</v>
      </c>
      <c r="C9" s="15">
        <v>4443.0775039999999</v>
      </c>
      <c r="D9" s="16">
        <f t="shared" si="0"/>
        <v>-4443.0775039999999</v>
      </c>
      <c r="E9" s="4" t="s">
        <v>35</v>
      </c>
      <c r="F9" s="4" t="s">
        <v>102</v>
      </c>
      <c r="G9" s="11">
        <v>45519</v>
      </c>
      <c r="H9" s="11">
        <v>45519</v>
      </c>
      <c r="I9" s="4" t="s">
        <v>78</v>
      </c>
      <c r="J9" s="4" t="s">
        <v>92</v>
      </c>
    </row>
    <row r="10" spans="1:10" x14ac:dyDescent="0.2">
      <c r="A10" s="4" t="s">
        <v>101</v>
      </c>
      <c r="B10" s="4">
        <v>15</v>
      </c>
      <c r="C10" s="15">
        <v>1015.937079</v>
      </c>
      <c r="D10" s="16">
        <f t="shared" si="0"/>
        <v>15239.056185000001</v>
      </c>
      <c r="E10" s="4" t="s">
        <v>34</v>
      </c>
      <c r="F10" s="14">
        <v>9.7174999999999997E-2</v>
      </c>
      <c r="G10" s="11">
        <v>45348</v>
      </c>
      <c r="H10" s="11">
        <v>45658</v>
      </c>
      <c r="I10" s="4" t="s">
        <v>78</v>
      </c>
      <c r="J10" s="4" t="s">
        <v>92</v>
      </c>
    </row>
    <row r="11" spans="1:10" x14ac:dyDescent="0.2">
      <c r="A11" s="4" t="s">
        <v>88</v>
      </c>
      <c r="B11" s="4">
        <v>1</v>
      </c>
      <c r="C11" s="15">
        <v>4281.1787199999999</v>
      </c>
      <c r="D11" s="16">
        <f t="shared" si="0"/>
        <v>4281.1787199999999</v>
      </c>
      <c r="E11" s="4" t="s">
        <v>35</v>
      </c>
      <c r="F11" s="4" t="s">
        <v>99</v>
      </c>
      <c r="G11" s="11">
        <v>45309</v>
      </c>
      <c r="H11" s="11">
        <v>45792</v>
      </c>
      <c r="I11" s="4" t="s">
        <v>78</v>
      </c>
      <c r="J11" s="4" t="s">
        <v>92</v>
      </c>
    </row>
    <row r="12" spans="1:10" x14ac:dyDescent="0.2">
      <c r="A12" s="4" t="s">
        <v>98</v>
      </c>
      <c r="B12" s="4">
        <v>12</v>
      </c>
      <c r="C12" s="15">
        <v>876.12770899999998</v>
      </c>
      <c r="D12" s="16">
        <f t="shared" si="0"/>
        <v>10513.532508</v>
      </c>
      <c r="E12" s="4" t="s">
        <v>34</v>
      </c>
      <c r="F12" s="14">
        <v>9.5875000000000002E-2</v>
      </c>
      <c r="G12" s="11">
        <v>45308</v>
      </c>
      <c r="H12" s="11">
        <v>45839</v>
      </c>
      <c r="I12" s="4" t="s">
        <v>92</v>
      </c>
      <c r="J12" s="4" t="s">
        <v>92</v>
      </c>
    </row>
    <row r="13" spans="1:10" x14ac:dyDescent="0.2">
      <c r="A13" s="4" t="s">
        <v>98</v>
      </c>
      <c r="B13" s="4">
        <v>-37</v>
      </c>
      <c r="C13" s="15">
        <v>999.99999957</v>
      </c>
      <c r="D13" s="16">
        <f t="shared" si="0"/>
        <v>-36999.999984089998</v>
      </c>
      <c r="E13" s="4" t="s">
        <v>34</v>
      </c>
      <c r="F13" s="14">
        <v>0.121375</v>
      </c>
      <c r="G13" s="11">
        <v>45293</v>
      </c>
      <c r="H13" s="11">
        <v>45292</v>
      </c>
      <c r="I13" s="4" t="s">
        <v>92</v>
      </c>
      <c r="J13" s="4" t="s">
        <v>92</v>
      </c>
    </row>
    <row r="14" spans="1:10" x14ac:dyDescent="0.2">
      <c r="A14" s="4" t="s">
        <v>88</v>
      </c>
      <c r="B14" s="4">
        <v>1</v>
      </c>
      <c r="C14" s="15">
        <v>4213.041373</v>
      </c>
      <c r="D14" s="16">
        <f t="shared" si="0"/>
        <v>4213.041373</v>
      </c>
      <c r="E14" s="4" t="s">
        <v>64</v>
      </c>
      <c r="F14" s="4" t="s">
        <v>102</v>
      </c>
      <c r="G14" s="11">
        <v>45250</v>
      </c>
      <c r="H14" s="11">
        <v>45519</v>
      </c>
      <c r="I14" s="4" t="s">
        <v>78</v>
      </c>
      <c r="J14" s="4" t="s">
        <v>92</v>
      </c>
    </row>
    <row r="15" spans="1:10" x14ac:dyDescent="0.2">
      <c r="A15" s="4" t="s">
        <v>88</v>
      </c>
      <c r="B15" s="4">
        <v>3</v>
      </c>
      <c r="C15" s="15">
        <v>4185.0663080000004</v>
      </c>
      <c r="D15" s="16">
        <f t="shared" si="0"/>
        <v>12555.198924</v>
      </c>
      <c r="E15" s="4" t="s">
        <v>64</v>
      </c>
      <c r="F15" s="4" t="s">
        <v>100</v>
      </c>
      <c r="G15" s="11">
        <v>45250</v>
      </c>
      <c r="H15" s="11">
        <v>45792</v>
      </c>
      <c r="I15" s="4" t="s">
        <v>78</v>
      </c>
      <c r="J15" s="4" t="s">
        <v>92</v>
      </c>
    </row>
    <row r="16" spans="1:10" x14ac:dyDescent="0.2">
      <c r="A16" s="4" t="s">
        <v>101</v>
      </c>
      <c r="B16" s="4">
        <v>35</v>
      </c>
      <c r="C16" s="15">
        <v>1008.265361</v>
      </c>
      <c r="D16" s="16">
        <f t="shared" si="0"/>
        <v>35289.287635000001</v>
      </c>
      <c r="E16" s="4" t="s">
        <v>34</v>
      </c>
      <c r="F16" s="14">
        <v>0.10402500000000001</v>
      </c>
      <c r="G16" s="11">
        <v>45159</v>
      </c>
      <c r="H16" s="11">
        <v>45658</v>
      </c>
      <c r="I16" s="4" t="s">
        <v>78</v>
      </c>
      <c r="J16" s="4" t="s">
        <v>92</v>
      </c>
    </row>
    <row r="17" spans="1:10" x14ac:dyDescent="0.2">
      <c r="A17" s="4" t="s">
        <v>98</v>
      </c>
      <c r="B17" s="4">
        <v>37</v>
      </c>
      <c r="C17" s="15">
        <v>959.91290900000001</v>
      </c>
      <c r="D17" s="16">
        <f t="shared" si="0"/>
        <v>35516.777632999998</v>
      </c>
      <c r="E17" s="4" t="s">
        <v>34</v>
      </c>
      <c r="F17" s="14">
        <v>0.121375</v>
      </c>
      <c r="G17" s="11">
        <v>45159</v>
      </c>
      <c r="H17" s="11">
        <v>45292</v>
      </c>
      <c r="I17" s="4" t="s">
        <v>92</v>
      </c>
      <c r="J17" s="4" t="s">
        <v>92</v>
      </c>
    </row>
    <row r="18" spans="1:10" x14ac:dyDescent="0.2">
      <c r="A18" s="4"/>
      <c r="B18" s="4"/>
      <c r="C18" s="4"/>
      <c r="D18" s="16"/>
      <c r="E18" s="4"/>
      <c r="F18" s="4"/>
      <c r="G18" s="4"/>
      <c r="H18" s="4"/>
      <c r="I18" s="4"/>
      <c r="J18" s="4"/>
    </row>
    <row r="19" spans="1:10" x14ac:dyDescent="0.2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x14ac:dyDescent="0.2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2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x14ac:dyDescent="0.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x14ac:dyDescent="0.2">
      <c r="A23" s="4"/>
      <c r="B23" s="4"/>
      <c r="C23" s="4"/>
      <c r="D23" s="4"/>
      <c r="E23" s="4"/>
      <c r="F23" s="4"/>
      <c r="G23" s="4"/>
      <c r="H23" s="4"/>
      <c r="I23" s="4"/>
      <c r="J23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4C57-6C2E-4DFE-B7C1-B9390A522B99}">
  <dimension ref="A1:H14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37.5" bestFit="1" customWidth="1"/>
    <col min="2" max="2" width="11.5" bestFit="1" customWidth="1"/>
    <col min="3" max="3" width="14.1640625" bestFit="1" customWidth="1"/>
    <col min="4" max="4" width="14.6640625" bestFit="1" customWidth="1"/>
    <col min="5" max="5" width="9.83203125" bestFit="1" customWidth="1"/>
    <col min="6" max="6" width="19.6640625" bestFit="1" customWidth="1"/>
    <col min="7" max="7" width="26" bestFit="1" customWidth="1"/>
    <col min="8" max="8" width="11.5" bestFit="1" customWidth="1"/>
  </cols>
  <sheetData>
    <row r="1" spans="1:8" x14ac:dyDescent="0.2">
      <c r="A1" s="4" t="s">
        <v>44</v>
      </c>
      <c r="B1" s="4" t="s">
        <v>2</v>
      </c>
      <c r="C1" s="4" t="s">
        <v>42</v>
      </c>
      <c r="D1" s="4" t="s">
        <v>41</v>
      </c>
      <c r="E1" s="4" t="s">
        <v>40</v>
      </c>
      <c r="F1" s="4" t="s">
        <v>39</v>
      </c>
      <c r="G1" s="4" t="s">
        <v>45</v>
      </c>
      <c r="H1" s="4" t="s">
        <v>38</v>
      </c>
    </row>
    <row r="2" spans="1:8" x14ac:dyDescent="0.2">
      <c r="A2" s="4" t="s">
        <v>96</v>
      </c>
      <c r="B2" s="4">
        <v>1</v>
      </c>
      <c r="C2" s="15">
        <v>5000</v>
      </c>
      <c r="D2" s="15">
        <f>C2*B2</f>
        <v>5000</v>
      </c>
      <c r="E2" s="4" t="s">
        <v>97</v>
      </c>
      <c r="F2" s="4" t="s">
        <v>97</v>
      </c>
      <c r="G2" s="11">
        <v>45030</v>
      </c>
      <c r="H2" s="11">
        <v>46862</v>
      </c>
    </row>
    <row r="3" spans="1:8" x14ac:dyDescent="0.2">
      <c r="A3" s="4"/>
      <c r="B3" s="4"/>
      <c r="C3" s="4"/>
      <c r="D3" s="4"/>
      <c r="E3" s="4"/>
      <c r="F3" s="4"/>
      <c r="G3" s="4"/>
      <c r="H3" s="4"/>
    </row>
    <row r="4" spans="1:8" x14ac:dyDescent="0.2">
      <c r="A4" s="4"/>
      <c r="B4" s="4"/>
      <c r="C4" s="4"/>
      <c r="D4" s="4"/>
      <c r="E4" s="4"/>
      <c r="F4" s="4"/>
      <c r="G4" s="4"/>
      <c r="H4" s="4"/>
    </row>
    <row r="5" spans="1:8" x14ac:dyDescent="0.2">
      <c r="A5" s="4"/>
      <c r="B5" s="4"/>
      <c r="C5" s="4"/>
      <c r="D5" s="4"/>
      <c r="E5" s="4"/>
      <c r="F5" s="4"/>
      <c r="G5" s="4"/>
      <c r="H5" s="4"/>
    </row>
    <row r="6" spans="1:8" x14ac:dyDescent="0.2">
      <c r="A6" s="4"/>
      <c r="B6" s="4"/>
      <c r="C6" s="4"/>
      <c r="D6" s="4"/>
      <c r="E6" s="4"/>
      <c r="F6" s="4"/>
      <c r="G6" s="4"/>
      <c r="H6" s="4"/>
    </row>
    <row r="7" spans="1:8" x14ac:dyDescent="0.2">
      <c r="A7" s="4"/>
      <c r="B7" s="4"/>
      <c r="C7" s="4"/>
      <c r="D7" s="4"/>
      <c r="E7" s="4"/>
      <c r="F7" s="4"/>
      <c r="G7" s="4"/>
      <c r="H7" s="4"/>
    </row>
    <row r="8" spans="1:8" x14ac:dyDescent="0.2">
      <c r="A8" s="4"/>
      <c r="B8" s="4"/>
      <c r="C8" s="4"/>
      <c r="D8" s="4"/>
      <c r="E8" s="4"/>
      <c r="F8" s="4"/>
      <c r="G8" s="4"/>
      <c r="H8" s="4"/>
    </row>
    <row r="9" spans="1:8" x14ac:dyDescent="0.2">
      <c r="A9" s="4"/>
      <c r="B9" s="4"/>
      <c r="C9" s="4"/>
      <c r="D9" s="4"/>
      <c r="E9" s="4"/>
      <c r="F9" s="4"/>
      <c r="G9" s="4"/>
      <c r="H9" s="4"/>
    </row>
    <row r="10" spans="1:8" x14ac:dyDescent="0.2">
      <c r="A10" s="4"/>
      <c r="B10" s="4"/>
      <c r="C10" s="4"/>
      <c r="D10" s="4"/>
      <c r="E10" s="4"/>
      <c r="F10" s="4"/>
      <c r="G10" s="4"/>
      <c r="H10" s="4"/>
    </row>
    <row r="11" spans="1:8" x14ac:dyDescent="0.2">
      <c r="A11" s="4"/>
      <c r="B11" s="4"/>
      <c r="C11" s="4"/>
      <c r="D11" s="4"/>
      <c r="E11" s="4"/>
      <c r="F11" s="4"/>
      <c r="G11" s="4"/>
      <c r="H11" s="4"/>
    </row>
    <row r="12" spans="1:8" x14ac:dyDescent="0.2">
      <c r="A12" s="4"/>
      <c r="B12" s="4"/>
      <c r="C12" s="4"/>
      <c r="D12" s="4"/>
      <c r="E12" s="4"/>
      <c r="F12" s="4"/>
      <c r="G12" s="4"/>
      <c r="H12" s="4"/>
    </row>
    <row r="13" spans="1:8" x14ac:dyDescent="0.2">
      <c r="A13" s="4"/>
      <c r="B13" s="4"/>
      <c r="C13" s="4"/>
      <c r="D13" s="4"/>
      <c r="E13" s="4"/>
      <c r="F13" s="4"/>
      <c r="G13" s="4"/>
      <c r="H13" s="4"/>
    </row>
    <row r="14" spans="1:8" x14ac:dyDescent="0.2">
      <c r="A14" s="4"/>
      <c r="B14" s="4"/>
      <c r="C14" s="4"/>
      <c r="D14" s="4"/>
      <c r="E14" s="4"/>
      <c r="F14" s="4"/>
      <c r="G14" s="4"/>
      <c r="H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</vt:lpstr>
      <vt:lpstr>Emissão Bancária</vt:lpstr>
      <vt:lpstr>Crédito Privado</vt:lpstr>
      <vt:lpstr>Tesouro</vt:lpstr>
      <vt:lpstr>Títulos Públicos</vt:lpstr>
      <vt:lpstr>COE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Farias Balthar</dc:creator>
  <cp:lastModifiedBy>Matheus Farias Balthar</cp:lastModifiedBy>
  <dcterms:created xsi:type="dcterms:W3CDTF">2025-07-14T12:33:51Z</dcterms:created>
  <dcterms:modified xsi:type="dcterms:W3CDTF">2025-12-10T20:10:48Z</dcterms:modified>
</cp:coreProperties>
</file>